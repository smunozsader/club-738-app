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REGISTRO DEL CLUB</t>
        </is>
      </c>
      <c r="B1" t="inlineStr">
        <is>
          <t>DOMICILIO DEL CLUB</t>
        </is>
      </c>
      <c r="C1" t="inlineStr">
        <is>
          <t>NOMBRE DEL SOCIO 
(No. CREDENCIAL)</t>
        </is>
      </c>
      <c r="D1" t="inlineStr">
        <is>
          <t>CURP</t>
        </is>
      </c>
      <c r="E1" t="inlineStr">
        <is>
          <t>No. CONSEC. DE SOCIO</t>
        </is>
      </c>
      <c r="F1" t="inlineStr">
        <is>
          <t>DOMICILIO DEL SOCIO</t>
        </is>
      </c>
      <c r="G1" t="inlineStr">
        <is>
          <t>TELEFONO</t>
        </is>
      </c>
      <c r="H1" t="inlineStr">
        <is>
          <t>EMAIL</t>
        </is>
      </c>
      <c r="I1" t="inlineStr">
        <is>
          <t>CLASE</t>
        </is>
      </c>
      <c r="J1" t="inlineStr">
        <is>
          <t>CALIBRE</t>
        </is>
      </c>
      <c r="K1" t="inlineStr">
        <is>
          <t>MARCA</t>
        </is>
      </c>
      <c r="L1" t="inlineStr">
        <is>
          <t>MODELO</t>
        </is>
      </c>
      <c r="M1" t="inlineStr">
        <is>
          <t>MATRÍCULA</t>
        </is>
      </c>
      <c r="N1" t="inlineStr">
        <is>
          <t>FOLIO</t>
        </is>
      </c>
      <c r="O1" t="inlineStr">
        <is>
          <t>ARMAS CORTAS</t>
        </is>
      </c>
      <c r="P1" t="inlineStr">
        <is>
          <t>ARMAS LARGAS</t>
        </is>
      </c>
    </row>
    <row r="2">
      <c r="A2" t="n">
        <v>738</v>
      </c>
      <c r="B2" t="inlineStr">
        <is>
          <t>CALLE 50 No. 531-E x 69 y 71, CENTRO, 97000 MÉRIDA, YUC.</t>
        </is>
      </c>
      <c r="C2" t="inlineStr">
        <is>
          <t>1. RICARDO JESÚS FERNÁNDEZ Y GASQUE</t>
        </is>
      </c>
      <c r="D2" t="inlineStr">
        <is>
          <t>FEGR350218HYNRSC04</t>
        </is>
      </c>
      <c r="E2" t="n">
        <v>1</v>
      </c>
      <c r="F2" t="inlineStr">
        <is>
          <t>CALLE 44 No. 438 x 21 y 23 FRACC. LOS PINOS, MÉRIDA, YUC. CP 97138</t>
        </is>
      </c>
      <c r="G2" t="n">
        <v>9999470480</v>
      </c>
      <c r="H2" t="inlineStr">
        <is>
          <t>richfegas@icloud.com</t>
        </is>
      </c>
      <c r="I2" t="inlineStr">
        <is>
          <t>PISTOLA</t>
        </is>
      </c>
      <c r="J2" t="inlineStr">
        <is>
          <t xml:space="preserve">.380" </t>
        </is>
      </c>
      <c r="K2" t="inlineStr">
        <is>
          <t>CESKA ZBROJOVKA</t>
        </is>
      </c>
      <c r="L2" t="inlineStr">
        <is>
          <t>CZ SHADOW 2</t>
        </is>
      </c>
      <c r="M2" t="inlineStr">
        <is>
          <t>EP33315</t>
        </is>
      </c>
      <c r="N2" t="inlineStr">
        <is>
          <t>A3840705</t>
        </is>
      </c>
      <c r="O2" t="n">
        <v>1</v>
      </c>
      <c r="P2" t="n">
        <v>0</v>
      </c>
    </row>
    <row r="3">
      <c r="A3" t="n">
        <v>738</v>
      </c>
      <c r="B3" t="inlineStr">
        <is>
          <t>CALLE 50 No. 531-E x 69 y 71, CENTRO, 97000 MÉRIDA, YUC.</t>
        </is>
      </c>
      <c r="C3" t="inlineStr">
        <is>
          <t>1. RICARDO JESÚS FERNÁNDEZ Y GASQUE</t>
        </is>
      </c>
      <c r="D3" t="inlineStr">
        <is>
          <t>FEGR350218HYNRSC04</t>
        </is>
      </c>
      <c r="E3" t="n">
        <v>1</v>
      </c>
      <c r="F3" t="inlineStr">
        <is>
          <t>CALLE 44 No. 438 x 21 y 23 FRACC. LOS PINOS, MÉRIDA, YUC. CP 97138</t>
        </is>
      </c>
      <c r="G3" t="n">
        <v>9999470480</v>
      </c>
      <c r="H3" t="inlineStr">
        <is>
          <t>richfegas@icloud.com</t>
        </is>
      </c>
      <c r="I3" t="inlineStr">
        <is>
          <t>PISTOLA</t>
        </is>
      </c>
      <c r="J3" t="inlineStr">
        <is>
          <t xml:space="preserve">.380" </t>
        </is>
      </c>
      <c r="K3" t="inlineStr">
        <is>
          <t>CESKA ZBROJOVKA</t>
        </is>
      </c>
      <c r="L3" t="inlineStr">
        <is>
          <t>CZ SHADOW 2</t>
        </is>
      </c>
      <c r="M3" t="inlineStr">
        <is>
          <t>FP38774</t>
        </is>
      </c>
      <c r="N3" t="inlineStr">
        <is>
          <t>A3892685</t>
        </is>
      </c>
      <c r="O3" t="n">
        <v>1</v>
      </c>
      <c r="P3" t="n">
        <v>0</v>
      </c>
    </row>
    <row r="4">
      <c r="A4" t="n">
        <v>738</v>
      </c>
      <c r="B4" t="inlineStr">
        <is>
          <t>CALLE 50 No. 531-E x 69 y 71, CENTRO, 97000 MÉRIDA, YUC.</t>
        </is>
      </c>
      <c r="C4" t="inlineStr">
        <is>
          <t>1. RICARDO JESÚS FERNÁNDEZ Y GASQUE</t>
        </is>
      </c>
      <c r="D4" t="inlineStr">
        <is>
          <t>FEGR350218HYNRSC04</t>
        </is>
      </c>
      <c r="E4" t="n">
        <v>1</v>
      </c>
      <c r="F4" t="inlineStr">
        <is>
          <t>CALLE 44 No. 438 x 21 y 23 FRACC. LOS PINOS, MÉRIDA, YUC. CP 97138</t>
        </is>
      </c>
      <c r="G4" t="n">
        <v>9999470480</v>
      </c>
      <c r="H4" t="inlineStr">
        <is>
          <t>richfegas@icloud.com</t>
        </is>
      </c>
      <c r="I4" t="inlineStr">
        <is>
          <t>KIT DE CONVERSION</t>
        </is>
      </c>
      <c r="J4" t="inlineStr">
        <is>
          <t>22 LR</t>
        </is>
      </c>
      <c r="K4" t="inlineStr">
        <is>
          <t>CESKA ZBROJOVKA</t>
        </is>
      </c>
      <c r="L4" t="inlineStr">
        <is>
          <t>CZ P07</t>
        </is>
      </c>
      <c r="M4" t="inlineStr">
        <is>
          <t>EP33673</t>
        </is>
      </c>
      <c r="N4" t="inlineStr">
        <is>
          <t>A3860035</t>
        </is>
      </c>
      <c r="O4" t="n">
        <v>1</v>
      </c>
      <c r="P4" t="n">
        <v>0</v>
      </c>
    </row>
    <row r="5">
      <c r="A5" t="n">
        <v>738</v>
      </c>
      <c r="B5" t="inlineStr">
        <is>
          <t>CALLE 50 No. 531-E x 69 y 71, CENTRO, 97000 MÉRIDA, YUC.</t>
        </is>
      </c>
      <c r="C5" t="inlineStr">
        <is>
          <t>1. RICARDO JESÚS FERNÁNDEZ Y GASQUE</t>
        </is>
      </c>
      <c r="D5" t="inlineStr">
        <is>
          <t>FEGR350218HYNRSC04</t>
        </is>
      </c>
      <c r="E5" t="n">
        <v>1</v>
      </c>
      <c r="F5" t="inlineStr">
        <is>
          <t>CALLE 44 No. 438 x 21 y 23 FRACC. LOS PINOS, MÉRIDA, YUC. CP 97138</t>
        </is>
      </c>
      <c r="G5" t="n">
        <v>9999470480</v>
      </c>
      <c r="H5" t="inlineStr">
        <is>
          <t>richfegas@icloud.com</t>
        </is>
      </c>
      <c r="I5" t="inlineStr">
        <is>
          <t>RIFLE SEMIAUTOMATICO</t>
        </is>
      </c>
      <c r="J5" t="inlineStr">
        <is>
          <t>.22" L.R.</t>
        </is>
      </c>
      <c r="K5" t="inlineStr">
        <is>
          <t>TIPPMANN-ARMS</t>
        </is>
      </c>
      <c r="L5" t="inlineStr">
        <is>
          <t>M4-22</t>
        </is>
      </c>
      <c r="M5" t="inlineStr">
        <is>
          <t>069654</t>
        </is>
      </c>
      <c r="N5" t="inlineStr">
        <is>
          <t>A3860045</t>
        </is>
      </c>
      <c r="O5" t="n">
        <v>0</v>
      </c>
      <c r="P5" t="n">
        <v>1</v>
      </c>
    </row>
    <row r="6">
      <c r="A6" t="n">
        <v>738</v>
      </c>
      <c r="B6" t="inlineStr">
        <is>
          <t>CALLE 50 No. 531-E x 69 y 71, CENTRO, 97000 MÉRIDA, YUC.</t>
        </is>
      </c>
      <c r="C6" t="inlineStr">
        <is>
          <t>30. JOSE JACINTO LIZARRAGA AVILA</t>
        </is>
      </c>
      <c r="D6" t="inlineStr">
        <is>
          <t>LIZJ750609HYNZVC08</t>
        </is>
      </c>
      <c r="E6">
        <f>E8+1</f>
        <v/>
      </c>
      <c r="F6" t="inlineStr">
        <is>
          <t>CALLE 25 x 22 y 24 No. 319, COL. SAN PEDRO CHOLUL, MÉRIDA, YUC. CP 97138</t>
        </is>
      </c>
      <c r="G6" t="inlineStr">
        <is>
          <t>9991336764</t>
        </is>
      </c>
      <c r="H6" t="inlineStr">
        <is>
          <t>jacintolizarraga@hotmail.com</t>
        </is>
      </c>
      <c r="I6" t="inlineStr">
        <is>
          <t>PISTOLA</t>
        </is>
      </c>
      <c r="J6" t="inlineStr">
        <is>
          <t>0.380"</t>
        </is>
      </c>
      <c r="K6" t="inlineStr">
        <is>
          <t>WALTHER</t>
        </is>
      </c>
      <c r="L6" t="inlineStr">
        <is>
          <t>PPKS</t>
        </is>
      </c>
      <c r="M6" t="n">
        <v>238677</v>
      </c>
      <c r="N6" t="inlineStr">
        <is>
          <t>A 3061194</t>
        </is>
      </c>
      <c r="O6" t="n">
        <v>1</v>
      </c>
      <c r="P6" t="n">
        <v>0</v>
      </c>
    </row>
    <row r="7">
      <c r="A7" t="n">
        <v>738</v>
      </c>
      <c r="B7" t="inlineStr">
        <is>
          <t>CALLE 50 No. 531-E x 69 y 71, CENTRO, 97000 MÉRIDA, YUC.</t>
        </is>
      </c>
      <c r="C7" t="inlineStr">
        <is>
          <t>30. JOSE JACINTO LIZARRAGA AVILA</t>
        </is>
      </c>
      <c r="D7" t="inlineStr">
        <is>
          <t>LIZJ750609HYNZVC08</t>
        </is>
      </c>
      <c r="E7">
        <f>E8+1</f>
        <v/>
      </c>
      <c r="F7" t="inlineStr">
        <is>
          <t>CALLE 25 x 22 y 24 No. 319, COL. SAN PEDRO CHOLUL, MÉRIDA, YUC. CP 97138</t>
        </is>
      </c>
      <c r="G7" t="inlineStr">
        <is>
          <t>9991336764</t>
        </is>
      </c>
      <c r="H7" t="inlineStr">
        <is>
          <t>jacintolizarraga@hotmail.com</t>
        </is>
      </c>
      <c r="I7" t="inlineStr">
        <is>
          <t>PISTOLA</t>
        </is>
      </c>
      <c r="J7" t="inlineStr">
        <is>
          <t>0.22"</t>
        </is>
      </c>
      <c r="K7" t="inlineStr">
        <is>
          <t>SMITH &amp; WESSON</t>
        </is>
      </c>
      <c r="L7" t="n">
        <v>41</v>
      </c>
      <c r="M7" t="n">
        <v>41605</v>
      </c>
      <c r="N7" t="inlineStr">
        <is>
          <t>A 3061195</t>
        </is>
      </c>
      <c r="O7" t="n">
        <v>1</v>
      </c>
      <c r="P7" t="n">
        <v>0</v>
      </c>
    </row>
    <row r="8">
      <c r="A8" t="n">
        <v>738</v>
      </c>
      <c r="B8" t="inlineStr">
        <is>
          <t>CALLE 50 No. 531-E x 69 y 71, CENTRO, 97000 MÉRIDA, YUC.</t>
        </is>
      </c>
      <c r="C8" t="inlineStr">
        <is>
          <t>30. JOSE JACINTO LIZARRAGA AVILA</t>
        </is>
      </c>
      <c r="D8" t="inlineStr">
        <is>
          <t>LIZJ750609HYNZVC08</t>
        </is>
      </c>
      <c r="E8">
        <f>E8+1</f>
        <v/>
      </c>
      <c r="F8" t="inlineStr">
        <is>
          <t>CALLE 25 x 22 y 24 No. 319, COL. SAN PEDRO CHOLUL, MÉRIDA, YUC. CP 97138</t>
        </is>
      </c>
      <c r="G8" t="inlineStr">
        <is>
          <t>9991336764</t>
        </is>
      </c>
      <c r="H8" t="inlineStr">
        <is>
          <t>jacintolizarraga@hotmail.com</t>
        </is>
      </c>
      <c r="I8" t="inlineStr">
        <is>
          <t>PISTOLA</t>
        </is>
      </c>
      <c r="J8" t="inlineStr">
        <is>
          <t>0-380"</t>
        </is>
      </c>
      <c r="K8" t="inlineStr">
        <is>
          <t>GLOCK</t>
        </is>
      </c>
      <c r="L8" t="inlineStr">
        <is>
          <t>25</t>
        </is>
      </c>
      <c r="M8" t="inlineStr">
        <is>
          <t>MXF795</t>
        </is>
      </c>
      <c r="N8" t="inlineStr">
        <is>
          <t>B 404935</t>
        </is>
      </c>
      <c r="O8" t="n">
        <v>1</v>
      </c>
      <c r="P8" t="n">
        <v>0</v>
      </c>
    </row>
    <row r="9">
      <c r="A9" t="n">
        <v>738</v>
      </c>
      <c r="B9" t="inlineStr">
        <is>
          <t>CALLE 50 No. 531-E x 69 y 71, CENTRO, 97000 MÉRIDA, YUC.</t>
        </is>
      </c>
      <c r="C9" t="inlineStr">
        <is>
          <t>30. JOSE JACINTO LIZARRAGA AVILA</t>
        </is>
      </c>
      <c r="D9" t="inlineStr">
        <is>
          <t>LIZJ750609HYNZVC08</t>
        </is>
      </c>
      <c r="E9">
        <f>E8+1</f>
        <v/>
      </c>
      <c r="F9" t="inlineStr">
        <is>
          <t>CALLE 25 x 22 y 24 No. 319, COL. SAN PEDRO CHOLUL, MÉRIDA, YUC. CP 97138</t>
        </is>
      </c>
      <c r="G9" t="inlineStr">
        <is>
          <t>9991336764</t>
        </is>
      </c>
      <c r="H9" t="inlineStr">
        <is>
          <t>jacintolizarraga@hotmail.com</t>
        </is>
      </c>
      <c r="I9" t="inlineStr">
        <is>
          <t>RIFLE</t>
        </is>
      </c>
      <c r="J9" t="inlineStr">
        <is>
          <t>0.22" L.R.</t>
        </is>
      </c>
      <c r="K9" t="inlineStr">
        <is>
          <t>WALTHER</t>
        </is>
      </c>
      <c r="L9" t="inlineStr">
        <is>
          <t>G22</t>
        </is>
      </c>
      <c r="M9" t="inlineStr">
        <is>
          <t>WP016316</t>
        </is>
      </c>
      <c r="N9" t="inlineStr">
        <is>
          <t>B 405098</t>
        </is>
      </c>
      <c r="O9" t="n">
        <v>0</v>
      </c>
      <c r="P9" t="n">
        <v>1</v>
      </c>
    </row>
    <row r="10">
      <c r="A10" t="n">
        <v>738</v>
      </c>
      <c r="B10" t="inlineStr">
        <is>
          <t>CALLE 50 No. 531-E x 69 y 71, CENTRO, 97000 MÉRIDA, YUC.</t>
        </is>
      </c>
      <c r="C10" t="inlineStr">
        <is>
          <t>30. JOSE JACINTO LIZARRAGA AVILA</t>
        </is>
      </c>
      <c r="D10" t="inlineStr">
        <is>
          <t>LIZJ750609HYNZVC08</t>
        </is>
      </c>
      <c r="E10">
        <f>E8+1</f>
        <v/>
      </c>
      <c r="F10" t="inlineStr">
        <is>
          <t>CALLE 25 x 22 y 24 No. 319, COL. SAN PEDRO CHOLUL, MÉRIDA, YUC. CP 97138</t>
        </is>
      </c>
      <c r="G10" t="inlineStr">
        <is>
          <t>9991336764</t>
        </is>
      </c>
      <c r="H10" t="inlineStr">
        <is>
          <t>jacintolizarraga@hotmail.com</t>
        </is>
      </c>
      <c r="I10" t="inlineStr">
        <is>
          <t>RIFLE</t>
        </is>
      </c>
      <c r="J10" t="inlineStr">
        <is>
          <t>0.22"</t>
        </is>
      </c>
      <c r="K10" t="inlineStr">
        <is>
          <t>SPRINGFIELD</t>
        </is>
      </c>
      <c r="L10" t="inlineStr">
        <is>
          <t>OF 1922</t>
        </is>
      </c>
      <c r="M10" t="inlineStr">
        <is>
          <t>2683B</t>
        </is>
      </c>
      <c r="N10" t="inlineStr">
        <is>
          <t>A 3061197</t>
        </is>
      </c>
      <c r="O10" t="n">
        <v>0</v>
      </c>
      <c r="P10" t="n">
        <v>1</v>
      </c>
    </row>
    <row r="11">
      <c r="A11" t="n">
        <v>738</v>
      </c>
      <c r="B11" t="inlineStr">
        <is>
          <t>CALLE 50 No. 531-E x 69 y 71, CENTRO, 97000 MÉRIDA, YUC.</t>
        </is>
      </c>
      <c r="C11" t="inlineStr">
        <is>
          <t>31. ADOLFO XACUR RIVERA</t>
        </is>
      </c>
      <c r="D11" t="inlineStr">
        <is>
          <t>XARA661008HYNCVD08</t>
        </is>
      </c>
      <c r="E11">
        <f>E13+1</f>
        <v/>
      </c>
      <c r="F11" t="inlineStr">
        <is>
          <t>Calle 36-B No. 285 x 33 y 35 COL. BENITO JUÁREZ, MÉRIDA, YUC. CP 97119</t>
        </is>
      </c>
      <c r="G11" t="n">
        <v>9992442613</v>
      </c>
      <c r="H11" t="inlineStr">
        <is>
          <t>fit.x66@hotmail.com</t>
        </is>
      </c>
      <c r="I11" t="inlineStr">
        <is>
          <t>PISTOLA</t>
        </is>
      </c>
      <c r="J11" t="inlineStr">
        <is>
          <t>0.380"</t>
        </is>
      </c>
      <c r="K11" t="inlineStr">
        <is>
          <t>GLOCK</t>
        </is>
      </c>
      <c r="L11" t="n">
        <v>25</v>
      </c>
      <c r="M11" t="inlineStr">
        <is>
          <t>LME199</t>
        </is>
      </c>
      <c r="N11" t="inlineStr">
        <is>
          <t>A 2673841</t>
        </is>
      </c>
      <c r="O11" t="n">
        <v>1</v>
      </c>
      <c r="P11" t="n">
        <v>0</v>
      </c>
    </row>
    <row r="12">
      <c r="A12" t="n">
        <v>738</v>
      </c>
      <c r="B12" t="inlineStr">
        <is>
          <t>CALLE 50 No. 531-E x 69 y 71, CENTRO, 97000 MÉRIDA, YUC.</t>
        </is>
      </c>
      <c r="C12" t="inlineStr">
        <is>
          <t>31. ADOLFO XACUR RIVERA</t>
        </is>
      </c>
      <c r="D12" t="inlineStr">
        <is>
          <t>XARA661008HYNCVD08</t>
        </is>
      </c>
      <c r="E12">
        <f>E13+1</f>
        <v/>
      </c>
      <c r="F12" t="inlineStr">
        <is>
          <t>Calle 36-B No. 285 x 33 y 35 COL. BENITO JUÁREZ, MÉRIDA, YUC. CP 97119</t>
        </is>
      </c>
      <c r="G12" t="n">
        <v>9992442613</v>
      </c>
      <c r="H12" t="inlineStr">
        <is>
          <t>fit.x66@hotmail.com</t>
        </is>
      </c>
      <c r="I12" t="inlineStr">
        <is>
          <t>REVOLVER</t>
        </is>
      </c>
      <c r="J12" t="inlineStr">
        <is>
          <t>38 SPL</t>
        </is>
      </c>
      <c r="K12" t="inlineStr">
        <is>
          <t>SMITH &amp; WESSON</t>
        </is>
      </c>
      <c r="L12" t="inlineStr">
        <is>
          <t>19-3</t>
        </is>
      </c>
      <c r="M12" t="inlineStr">
        <is>
          <t>7 K39813</t>
        </is>
      </c>
      <c r="N12" t="inlineStr">
        <is>
          <t>A 2673978</t>
        </is>
      </c>
      <c r="O12" t="n">
        <v>1</v>
      </c>
      <c r="P12" t="n">
        <v>0</v>
      </c>
    </row>
    <row r="13">
      <c r="A13" t="n">
        <v>738</v>
      </c>
      <c r="B13" t="inlineStr">
        <is>
          <t>CALLE 50 No. 531-E x 69 y 71, CENTRO, 97000 MÉRIDA, YUC.</t>
        </is>
      </c>
      <c r="C13" t="inlineStr">
        <is>
          <t>31. ADOLFO XACUR RIVERA</t>
        </is>
      </c>
      <c r="D13" t="inlineStr">
        <is>
          <t>XARA661008HYNCVD08</t>
        </is>
      </c>
      <c r="E13">
        <f>E13+1</f>
        <v/>
      </c>
      <c r="F13" t="inlineStr">
        <is>
          <t>Calle 36-B No. 285 x 33 y 35 COL. BENITO JUÁREZ, MÉRIDA, YUC. CP 97119</t>
        </is>
      </c>
      <c r="G13" t="n">
        <v>9992442613</v>
      </c>
      <c r="H13" t="inlineStr">
        <is>
          <t>fit.x66@hotmail.com</t>
        </is>
      </c>
      <c r="I13" t="inlineStr">
        <is>
          <t>RIFLE</t>
        </is>
      </c>
      <c r="J13" t="inlineStr">
        <is>
          <t>0.22" L.R.</t>
        </is>
      </c>
      <c r="K13" t="inlineStr">
        <is>
          <t>HECKLER &amp; KOCH</t>
        </is>
      </c>
      <c r="L13" t="inlineStr">
        <is>
          <t>HK 416 D</t>
        </is>
      </c>
      <c r="M13" t="inlineStr">
        <is>
          <t>HK006418</t>
        </is>
      </c>
      <c r="N13" t="inlineStr">
        <is>
          <t>F 198308</t>
        </is>
      </c>
      <c r="O13" t="n">
        <v>0</v>
      </c>
      <c r="P13" t="n">
        <v>1</v>
      </c>
    </row>
    <row r="14">
      <c r="A14" t="n">
        <v>738</v>
      </c>
      <c r="B14" t="inlineStr">
        <is>
          <t>CALLE 50 No. 531-E x 69 y 71, CENTRO, 97000 MÉRIDA, YUC.</t>
        </is>
      </c>
      <c r="C14" t="inlineStr">
        <is>
          <t>31. ADOLFO XACUR RIVERA</t>
        </is>
      </c>
      <c r="D14" t="inlineStr">
        <is>
          <t>XARA661008HYNCVD08</t>
        </is>
      </c>
      <c r="E14">
        <f>E13+1</f>
        <v/>
      </c>
      <c r="F14" t="inlineStr">
        <is>
          <t>Calle 36-B No. 285 x 33 y 35 COL. BENITO JUÁREZ, MÉRIDA, YUC. CP 97119</t>
        </is>
      </c>
      <c r="G14" t="n">
        <v>9992442613</v>
      </c>
      <c r="H14" t="inlineStr">
        <is>
          <t>fit.x66@hotmail.com</t>
        </is>
      </c>
      <c r="I14" t="inlineStr">
        <is>
          <t>PISTOLA</t>
        </is>
      </c>
      <c r="J14" t="inlineStr">
        <is>
          <t>0.380"</t>
        </is>
      </c>
      <c r="K14" t="inlineStr">
        <is>
          <t>TAURUS</t>
        </is>
      </c>
      <c r="L14" t="inlineStr">
        <is>
          <t>PT 58 HC PLUS</t>
        </is>
      </c>
      <c r="M14" t="inlineStr">
        <is>
          <t>KDS62481</t>
        </is>
      </c>
      <c r="N14" t="inlineStr">
        <is>
          <t>F 198309</t>
        </is>
      </c>
      <c r="O14" t="n">
        <v>1</v>
      </c>
      <c r="P14" t="n">
        <v>0</v>
      </c>
    </row>
    <row r="15">
      <c r="A15" t="n">
        <v>738</v>
      </c>
      <c r="B15" t="inlineStr">
        <is>
          <t>CALLE 50 No. 531-E x 69 y 71, CENTRO, 97000 MÉRIDA, YUC.</t>
        </is>
      </c>
      <c r="C15" t="inlineStr">
        <is>
          <t>31. ADOLFO XACUR RIVERA</t>
        </is>
      </c>
      <c r="D15" t="inlineStr">
        <is>
          <t>XARA661008HYNCVD08</t>
        </is>
      </c>
      <c r="E15">
        <f>E13+1</f>
        <v/>
      </c>
      <c r="F15" t="inlineStr">
        <is>
          <t>Calle 36-B No. 285 x 33 y 35 COL. BENITO JUÁREZ, MÉRIDA, YUC. CP 97119</t>
        </is>
      </c>
      <c r="G15" t="n">
        <v>9992442613</v>
      </c>
      <c r="H15" t="inlineStr">
        <is>
          <t>fit.x66@hotmail.com</t>
        </is>
      </c>
      <c r="I15" t="inlineStr">
        <is>
          <t>ESCOPETA</t>
        </is>
      </c>
      <c r="J15" t="n">
        <v>12</v>
      </c>
      <c r="K15" t="inlineStr">
        <is>
          <t>MOSSBERG</t>
        </is>
      </c>
      <c r="L15" t="n">
        <v>500</v>
      </c>
      <c r="M15" t="inlineStr">
        <is>
          <t>T581059</t>
        </is>
      </c>
      <c r="N15" t="inlineStr">
        <is>
          <t>B 307607</t>
        </is>
      </c>
      <c r="O15" t="n">
        <v>0</v>
      </c>
      <c r="P15" t="n">
        <v>1</v>
      </c>
    </row>
    <row r="16">
      <c r="A16" t="n">
        <v>738</v>
      </c>
      <c r="B16" t="inlineStr">
        <is>
          <t>CALLE 50 No. 531-E x 69 y 71, CENTRO, 97000 MÉRIDA, YUC.</t>
        </is>
      </c>
      <c r="C16" t="inlineStr">
        <is>
          <t>31. ADOLFO XACUR RIVERA</t>
        </is>
      </c>
      <c r="D16" t="inlineStr">
        <is>
          <t>XARA661008HYNCVD08</t>
        </is>
      </c>
      <c r="E16">
        <f>E13+1</f>
        <v/>
      </c>
      <c r="F16" t="inlineStr">
        <is>
          <t>Calle 36-B No. 285 x 33 y 35 COL. BENITO JUÁREZ, MÉRIDA, YUC. CP 97119</t>
        </is>
      </c>
      <c r="G16" t="n">
        <v>9992442613</v>
      </c>
      <c r="H16" t="inlineStr">
        <is>
          <t>fit.x66@hotmail.com</t>
        </is>
      </c>
      <c r="I16" t="inlineStr">
        <is>
          <t>RIFLE</t>
        </is>
      </c>
      <c r="J16" t="inlineStr">
        <is>
          <t>0.22"</t>
        </is>
      </c>
      <c r="K16" t="inlineStr">
        <is>
          <t>JC HIGGINS</t>
        </is>
      </c>
      <c r="L16" t="n">
        <v>30</v>
      </c>
      <c r="M16" t="n">
        <v>2552429</v>
      </c>
      <c r="N16" t="inlineStr">
        <is>
          <t>B 307650</t>
        </is>
      </c>
      <c r="O16" t="n">
        <v>0</v>
      </c>
      <c r="P16" t="n">
        <v>1</v>
      </c>
    </row>
    <row r="17">
      <c r="A17" t="n">
        <v>738</v>
      </c>
      <c r="B17" t="inlineStr">
        <is>
          <t>CALLE 50 No. 531-E x 69 y 71, CENTRO, 97000 MÉRIDA, YUC.</t>
        </is>
      </c>
      <c r="C17" t="inlineStr">
        <is>
          <t>31. ADOLFO XACUR RIVERA</t>
        </is>
      </c>
      <c r="D17" t="inlineStr">
        <is>
          <t>XARA661008HYNCVD08</t>
        </is>
      </c>
      <c r="E17">
        <f>E13+1</f>
        <v/>
      </c>
      <c r="F17" t="inlineStr">
        <is>
          <t>Calle 36-B No. 285 x 33 y 35 COL. BENITO JUÁREZ, MÉRIDA, YUC. CP 97119</t>
        </is>
      </c>
      <c r="G17" t="n">
        <v>9992442613</v>
      </c>
      <c r="H17" t="inlineStr">
        <is>
          <t>fit.x66@hotmail.com</t>
        </is>
      </c>
      <c r="I17" t="inlineStr">
        <is>
          <t>RIFLE</t>
        </is>
      </c>
      <c r="J17" t="inlineStr">
        <is>
          <t>30 06</t>
        </is>
      </c>
      <c r="K17" t="inlineStr">
        <is>
          <t>WINCHESTER</t>
        </is>
      </c>
      <c r="L17" t="inlineStr">
        <is>
          <t>SAKO</t>
        </is>
      </c>
      <c r="M17" t="inlineStr">
        <is>
          <t>AV597290</t>
        </is>
      </c>
      <c r="N17" t="inlineStr">
        <is>
          <t>B 371435</t>
        </is>
      </c>
      <c r="O17" t="n">
        <v>0</v>
      </c>
      <c r="P17" t="n">
        <v>1</v>
      </c>
    </row>
    <row r="18">
      <c r="A18" t="n">
        <v>738</v>
      </c>
      <c r="B18" t="inlineStr">
        <is>
          <t>CALLE 50 No. 531-E x 69 y 71, CENTRO, 97000 MÉRIDA, YUC.</t>
        </is>
      </c>
      <c r="C18" t="inlineStr">
        <is>
          <t>31. ADOLFO XACUR RIVERA</t>
        </is>
      </c>
      <c r="D18" t="inlineStr">
        <is>
          <t>XARA661008HYNCVD08</t>
        </is>
      </c>
      <c r="E18">
        <f>E13+1</f>
        <v/>
      </c>
      <c r="F18" t="inlineStr">
        <is>
          <t>Calle 36-B No. 285 x 33 y 35 COL. BENITO JUÁREZ, MÉRIDA, YUC. CP 97119</t>
        </is>
      </c>
      <c r="G18" t="n">
        <v>9992442613</v>
      </c>
      <c r="H18" t="inlineStr">
        <is>
          <t>fit.x66@hotmail.com</t>
        </is>
      </c>
      <c r="I18" t="inlineStr">
        <is>
          <t>REVOLVER</t>
        </is>
      </c>
      <c r="J18" t="inlineStr">
        <is>
          <t>0.22"</t>
        </is>
      </c>
      <c r="K18" t="inlineStr">
        <is>
          <t>COLT'S</t>
        </is>
      </c>
      <c r="L18" t="inlineStr">
        <is>
          <t>SIN</t>
        </is>
      </c>
      <c r="M18" t="inlineStr">
        <is>
          <t>23953K</t>
        </is>
      </c>
      <c r="N18" t="inlineStr">
        <is>
          <t>A 3420104</t>
        </is>
      </c>
      <c r="O18" t="n">
        <v>1</v>
      </c>
      <c r="P18" t="n">
        <v>0</v>
      </c>
    </row>
    <row r="19">
      <c r="A19" t="n">
        <v>738</v>
      </c>
      <c r="B19" t="inlineStr">
        <is>
          <t>CALLE 50 No. 531-E x 69 y 71, CENTRO, 97000 MÉRIDA, YUC.</t>
        </is>
      </c>
      <c r="C19" t="inlineStr">
        <is>
          <t>46. REMIGIO BEETHOVEN AGUILAR CANTO</t>
        </is>
      </c>
      <c r="D19" t="inlineStr">
        <is>
          <t>AUCR770225HYNGNM08</t>
        </is>
      </c>
      <c r="E19">
        <f>E19+1</f>
        <v/>
      </c>
      <c r="F19" t="inlineStr">
        <is>
          <t>20 No. 50 x 5 y 7, COL. MÉXICO, MÉRIDA, YUC. CP 97128</t>
        </is>
      </c>
      <c r="G19" t="inlineStr">
        <is>
          <t>9999238686</t>
        </is>
      </c>
      <c r="H19" t="inlineStr">
        <is>
          <t>sysaventas@hotmail.com</t>
        </is>
      </c>
      <c r="I19" t="inlineStr">
        <is>
          <t>RIFLE</t>
        </is>
      </c>
      <c r="J19" t="inlineStr">
        <is>
          <t>0.220" SWIFT</t>
        </is>
      </c>
      <c r="K19" t="inlineStr">
        <is>
          <t>WINCHESTER</t>
        </is>
      </c>
      <c r="L19" t="inlineStr">
        <is>
          <t>70</t>
        </is>
      </c>
      <c r="M19" t="inlineStr">
        <is>
          <t>138092</t>
        </is>
      </c>
      <c r="N19" t="inlineStr">
        <is>
          <t>A 3502535</t>
        </is>
      </c>
      <c r="O19" t="n">
        <v>0</v>
      </c>
      <c r="P19" t="n">
        <v>1</v>
      </c>
    </row>
    <row r="20">
      <c r="A20" t="n">
        <v>738</v>
      </c>
      <c r="B20" t="inlineStr">
        <is>
          <t>CALLE 50 No. 531-E x 69 y 71, CENTRO, 97000 MÉRIDA, YUC.</t>
        </is>
      </c>
      <c r="C20" t="inlineStr">
        <is>
          <t>46. REMIGIO BEETHOVEN AGUILAR CANTO</t>
        </is>
      </c>
      <c r="D20" t="inlineStr">
        <is>
          <t>AUCR770225HYNGNM08</t>
        </is>
      </c>
      <c r="E20">
        <f>E19+1</f>
        <v/>
      </c>
      <c r="F20" t="inlineStr">
        <is>
          <t>20 No. 50 x 5 y 7, COL. MÉXICO, MÉRIDA, YUC. CP 97128</t>
        </is>
      </c>
      <c r="G20" t="inlineStr">
        <is>
          <t>9999238686</t>
        </is>
      </c>
      <c r="H20" t="inlineStr">
        <is>
          <t>sysaventas@hotmail.com</t>
        </is>
      </c>
      <c r="I20" t="inlineStr">
        <is>
          <t>ESCOPETA</t>
        </is>
      </c>
      <c r="J20" t="inlineStr">
        <is>
          <t>12</t>
        </is>
      </c>
      <c r="K20" t="inlineStr">
        <is>
          <t>BROWNING</t>
        </is>
      </c>
      <c r="L20" t="inlineStr">
        <is>
          <t>DUCKS UNLIMITED</t>
        </is>
      </c>
      <c r="M20" t="inlineStr">
        <is>
          <t>89 DU 002435</t>
        </is>
      </c>
      <c r="N20" t="inlineStr">
        <is>
          <t>A 2673993</t>
        </is>
      </c>
      <c r="O20" t="n">
        <v>0</v>
      </c>
      <c r="P20" t="n">
        <v>1</v>
      </c>
    </row>
    <row r="21">
      <c r="A21" t="n">
        <v>738</v>
      </c>
      <c r="B21" t="inlineStr">
        <is>
          <t>CALLE 50 No. 531-E x 69 y 71, CENTRO, 97000 MÉRIDA, YUC.</t>
        </is>
      </c>
      <c r="C21" t="inlineStr">
        <is>
          <t>46. REMIGIO BEETHOVEN AGUILAR CANTO</t>
        </is>
      </c>
      <c r="D21" t="inlineStr">
        <is>
          <t>AUCR770225HYNGNM08</t>
        </is>
      </c>
      <c r="E21">
        <f>E19+1</f>
        <v/>
      </c>
      <c r="F21" t="inlineStr">
        <is>
          <t>20 No. 50 x 5 y 7, COL. MÉXICO, MÉRIDA, YUC. CP 97128</t>
        </is>
      </c>
      <c r="G21" t="inlineStr">
        <is>
          <t>9999238686</t>
        </is>
      </c>
      <c r="H21" t="inlineStr">
        <is>
          <t>sysaventas@hotmail.com</t>
        </is>
      </c>
      <c r="I21" t="inlineStr">
        <is>
          <t>RIFLE</t>
        </is>
      </c>
      <c r="J21" t="inlineStr">
        <is>
          <t>.257" ROBERTS</t>
        </is>
      </c>
      <c r="K21" t="inlineStr">
        <is>
          <t>STEYRS</t>
        </is>
      </c>
      <c r="L21" t="inlineStr">
        <is>
          <t>1950</t>
        </is>
      </c>
      <c r="M21" t="inlineStr">
        <is>
          <t>6274</t>
        </is>
      </c>
      <c r="N21" t="inlineStr">
        <is>
          <t>B 462699</t>
        </is>
      </c>
      <c r="O21" t="n">
        <v>0</v>
      </c>
      <c r="P21" t="n">
        <v>1</v>
      </c>
    </row>
    <row r="22">
      <c r="A22" t="n">
        <v>738</v>
      </c>
      <c r="B22" t="inlineStr">
        <is>
          <t>CALLE 50 No. 531-E x 69 y 71, CENTRO, 97000 MÉRIDA, YUC.</t>
        </is>
      </c>
      <c r="C22" t="inlineStr">
        <is>
          <t>46. REMIGIO BEETHOVEN AGUILAR CANTO</t>
        </is>
      </c>
      <c r="D22" t="inlineStr">
        <is>
          <t>AUCR770225HYNGNM08</t>
        </is>
      </c>
      <c r="E22">
        <f>E19+1</f>
        <v/>
      </c>
      <c r="F22" t="inlineStr">
        <is>
          <t>20 No. 50 x 5 y 7, COL. MÉXICO, MÉRIDA, YUC. CP 97128</t>
        </is>
      </c>
      <c r="G22" t="inlineStr">
        <is>
          <t>9999238686</t>
        </is>
      </c>
      <c r="H22" t="inlineStr">
        <is>
          <t>sysaventas@hotmail.com</t>
        </is>
      </c>
      <c r="I22" t="inlineStr">
        <is>
          <t>ESCOPETA</t>
        </is>
      </c>
      <c r="J22" t="inlineStr">
        <is>
          <t>20 GA</t>
        </is>
      </c>
      <c r="K22" t="inlineStr">
        <is>
          <t>BROWNING</t>
        </is>
      </c>
      <c r="L22" t="inlineStr">
        <is>
          <t>B-80</t>
        </is>
      </c>
      <c r="M22" t="inlineStr">
        <is>
          <t>471NZ11158</t>
        </is>
      </c>
      <c r="N22" t="inlineStr">
        <is>
          <t>B 488347</t>
        </is>
      </c>
      <c r="O22" t="n">
        <v>0</v>
      </c>
      <c r="P22" t="n">
        <v>1</v>
      </c>
    </row>
    <row r="23">
      <c r="A23" t="n">
        <v>738</v>
      </c>
      <c r="B23" t="inlineStr">
        <is>
          <t>CALLE 50 No. 531-E x 69 y 71, CENTRO, 97000 MÉRIDA, YUC.</t>
        </is>
      </c>
      <c r="C23" t="inlineStr">
        <is>
          <t>46. REMIGIO BEETHOVEN AGUILAR CANTO</t>
        </is>
      </c>
      <c r="D23" t="inlineStr">
        <is>
          <t>AUCR770225HYNGNM08</t>
        </is>
      </c>
      <c r="E23">
        <f>E19+1</f>
        <v/>
      </c>
      <c r="F23" t="inlineStr">
        <is>
          <t>20 No. 50 x 5 y 7, COL. MÉXICO, MÉRIDA, YUC. CP 97128</t>
        </is>
      </c>
      <c r="G23" t="inlineStr">
        <is>
          <t>9999238686</t>
        </is>
      </c>
      <c r="H23" t="inlineStr">
        <is>
          <t>sysaventas@hotmail.com</t>
        </is>
      </c>
      <c r="I23" t="inlineStr">
        <is>
          <t>RIFLE</t>
        </is>
      </c>
      <c r="J23" t="inlineStr">
        <is>
          <t>0.22" HORNET</t>
        </is>
      </c>
      <c r="K23" t="inlineStr">
        <is>
          <t>KIMBER</t>
        </is>
      </c>
      <c r="L23" t="inlineStr">
        <is>
          <t>82</t>
        </is>
      </c>
      <c r="M23" t="inlineStr">
        <is>
          <t>H1103</t>
        </is>
      </c>
      <c r="N23" t="inlineStr">
        <is>
          <t>B 485374</t>
        </is>
      </c>
      <c r="O23" t="n">
        <v>0</v>
      </c>
      <c r="P23" t="n">
        <v>1</v>
      </c>
    </row>
    <row r="24">
      <c r="A24" t="n">
        <v>738</v>
      </c>
      <c r="B24" t="inlineStr">
        <is>
          <t>CALLE 50 No. 531-E x 69 y 71, CENTRO, 97000 MÉRIDA, YUC.</t>
        </is>
      </c>
      <c r="C24" t="inlineStr">
        <is>
          <t>46. REMIGIO BEETHOVEN AGUILAR CANTO</t>
        </is>
      </c>
      <c r="D24" t="inlineStr">
        <is>
          <t>AUCR770225HYNGNM08</t>
        </is>
      </c>
      <c r="E24">
        <f>E19+1</f>
        <v/>
      </c>
      <c r="F24" t="inlineStr">
        <is>
          <t>20 No. 50 x 5 y 7, COL. MÉXICO, MÉRIDA, YUC. CP 97128</t>
        </is>
      </c>
      <c r="G24" t="inlineStr">
        <is>
          <t>9999238686</t>
        </is>
      </c>
      <c r="H24" t="inlineStr">
        <is>
          <t>sysaventas@hotmail.com</t>
        </is>
      </c>
      <c r="I24" t="inlineStr">
        <is>
          <t>RIFLE</t>
        </is>
      </c>
      <c r="J24" t="inlineStr">
        <is>
          <t>0.300" WBY. MAG</t>
        </is>
      </c>
      <c r="K24" t="inlineStr">
        <is>
          <t>BANSNERs</t>
        </is>
      </c>
      <c r="L24" t="inlineStr">
        <is>
          <t>X-TREME SHEEP HUNTER</t>
        </is>
      </c>
      <c r="M24" t="inlineStr">
        <is>
          <t>S6514282</t>
        </is>
      </c>
      <c r="N24" t="inlineStr">
        <is>
          <t>B 405163</t>
        </is>
      </c>
      <c r="O24" t="n">
        <v>0</v>
      </c>
      <c r="P24" t="n">
        <v>1</v>
      </c>
    </row>
    <row r="25">
      <c r="A25" t="n">
        <v>738</v>
      </c>
      <c r="B25" t="inlineStr">
        <is>
          <t>CALLE 50 No. 531-E x 69 y 71, CENTRO, 97000 MÉRIDA, YUC.</t>
        </is>
      </c>
      <c r="C25" t="inlineStr">
        <is>
          <t>46. REMIGIO BEETHOVEN AGUILAR CANTO</t>
        </is>
      </c>
      <c r="D25" t="inlineStr">
        <is>
          <t>AUCR770225HYNGNM08</t>
        </is>
      </c>
      <c r="E25">
        <f>E19+1</f>
        <v/>
      </c>
      <c r="F25" t="inlineStr">
        <is>
          <t>20 No. 50 x 5 y 7, COL. MÉXICO, MÉRIDA, YUC. CP 97128</t>
        </is>
      </c>
      <c r="G25" t="inlineStr">
        <is>
          <t>9999238686</t>
        </is>
      </c>
      <c r="H25" t="inlineStr">
        <is>
          <t>sysaventas@hotmail.com</t>
        </is>
      </c>
      <c r="I25" t="inlineStr">
        <is>
          <t>ESCOPETA</t>
        </is>
      </c>
      <c r="J25" t="inlineStr">
        <is>
          <t>12</t>
        </is>
      </c>
      <c r="K25" t="inlineStr">
        <is>
          <t>BROWNING</t>
        </is>
      </c>
      <c r="L25" t="inlineStr">
        <is>
          <t>CITORI</t>
        </is>
      </c>
      <c r="M25" t="inlineStr">
        <is>
          <t>02886 NX1B3</t>
        </is>
      </c>
      <c r="N25" t="inlineStr">
        <is>
          <t>A 2673992</t>
        </is>
      </c>
      <c r="O25" t="n">
        <v>0</v>
      </c>
      <c r="P25" t="n">
        <v>1</v>
      </c>
    </row>
    <row r="26">
      <c r="A26" t="n">
        <v>738</v>
      </c>
      <c r="B26" t="inlineStr">
        <is>
          <t>CALLE 50 No. 531-E x 69 y 71, CENTRO, 97000 MÉRIDA, YUC.</t>
        </is>
      </c>
      <c r="C26" t="inlineStr">
        <is>
          <t>46. REMIGIO BEETHOVEN AGUILAR CANTO</t>
        </is>
      </c>
      <c r="D26" t="inlineStr">
        <is>
          <t>AUCR770225HYNGNM08</t>
        </is>
      </c>
      <c r="E26">
        <f>E19+1</f>
        <v/>
      </c>
      <c r="F26" t="inlineStr">
        <is>
          <t>20 No. 50 x 5 y 7, COL. MÉXICO, MÉRIDA, YUC. CP 97128</t>
        </is>
      </c>
      <c r="G26" t="inlineStr">
        <is>
          <t>9999238686</t>
        </is>
      </c>
      <c r="H26" t="inlineStr">
        <is>
          <t>sysaventas@hotmail.com</t>
        </is>
      </c>
      <c r="I26" t="inlineStr">
        <is>
          <t>RIFLE</t>
        </is>
      </c>
      <c r="J26" t="inlineStr">
        <is>
          <t>0.22" L.R.</t>
        </is>
      </c>
      <c r="K26" t="inlineStr">
        <is>
          <t>RUGER</t>
        </is>
      </c>
      <c r="L26" t="inlineStr">
        <is>
          <t>19/22</t>
        </is>
      </c>
      <c r="M26" t="inlineStr">
        <is>
          <t>C63-1970</t>
        </is>
      </c>
      <c r="N26" t="inlineStr">
        <is>
          <t>A 3420314</t>
        </is>
      </c>
      <c r="O26" t="n">
        <v>0</v>
      </c>
      <c r="P26" t="n">
        <v>1</v>
      </c>
    </row>
    <row r="27">
      <c r="A27" t="n">
        <v>738</v>
      </c>
      <c r="B27" t="inlineStr">
        <is>
          <t>CALLE 50 No. 531-E x 69 y 71, CENTRO, 97000 MÉRIDA, YUC.</t>
        </is>
      </c>
      <c r="C27" t="inlineStr">
        <is>
          <t>46. REMIGIO BEETHOVEN AGUILAR CANTO</t>
        </is>
      </c>
      <c r="D27" t="inlineStr">
        <is>
          <t>AUCR770225HYNGNM08</t>
        </is>
      </c>
      <c r="E27">
        <f>E19+1</f>
        <v/>
      </c>
      <c r="F27" t="inlineStr">
        <is>
          <t>20 No. 50 x 5 y 7, COL. MÉXICO, MÉRIDA, YUC. CP 97128</t>
        </is>
      </c>
      <c r="G27" t="inlineStr">
        <is>
          <t>9999238686</t>
        </is>
      </c>
      <c r="H27" t="inlineStr">
        <is>
          <t>sysaventas@hotmail.com</t>
        </is>
      </c>
      <c r="I27" t="inlineStr">
        <is>
          <t>RIFLE</t>
        </is>
      </c>
      <c r="J27" t="inlineStr">
        <is>
          <t>0.22" L.R.</t>
        </is>
      </c>
      <c r="K27" t="inlineStr">
        <is>
          <t>CZ</t>
        </is>
      </c>
      <c r="L27" t="inlineStr">
        <is>
          <t>452 ZKM</t>
        </is>
      </c>
      <c r="M27" t="inlineStr">
        <is>
          <t>A357238</t>
        </is>
      </c>
      <c r="N27" t="inlineStr">
        <is>
          <t>A 3420757</t>
        </is>
      </c>
      <c r="O27" t="n">
        <v>0</v>
      </c>
      <c r="P27" t="n">
        <v>1</v>
      </c>
    </row>
    <row r="28">
      <c r="A28" t="n">
        <v>738</v>
      </c>
      <c r="B28" t="inlineStr">
        <is>
          <t>CALLE 50 No. 531-E x 69 y 71, CENTRO, 97000 MÉRIDA, YUC.</t>
        </is>
      </c>
      <c r="C28" t="inlineStr">
        <is>
          <t>46. REMIGIO BEETHOVEN AGUILAR CANTO</t>
        </is>
      </c>
      <c r="D28" t="inlineStr">
        <is>
          <t>AUCR770225HYNGNM08</t>
        </is>
      </c>
      <c r="E28">
        <f>E19+1</f>
        <v/>
      </c>
      <c r="F28" t="inlineStr">
        <is>
          <t>20 No. 50 x 5 y 7, COL. MÉXICO, MÉRIDA, YUC. CP 97128</t>
        </is>
      </c>
      <c r="G28" t="inlineStr">
        <is>
          <t>9999238686</t>
        </is>
      </c>
      <c r="H28" t="inlineStr">
        <is>
          <t>sysaventas@hotmail.com</t>
        </is>
      </c>
      <c r="I28" t="inlineStr">
        <is>
          <t>RIFLE</t>
        </is>
      </c>
      <c r="J28" t="inlineStr">
        <is>
          <t>0.300" REM. ULTRA. MAG./  CUENTA CON CAÑÓN ADIC. 
CREEDMOOR  CAL. 6.5 mm  MAT. R/163932</t>
        </is>
      </c>
      <c r="K28" t="inlineStr">
        <is>
          <t>BLASER</t>
        </is>
      </c>
      <c r="L28" t="inlineStr">
        <is>
          <t>R8</t>
        </is>
      </c>
      <c r="M28" t="inlineStr">
        <is>
          <t>R/125521</t>
        </is>
      </c>
      <c r="N28" t="inlineStr">
        <is>
          <t>A 3421384</t>
        </is>
      </c>
      <c r="O28" t="n">
        <v>0</v>
      </c>
      <c r="P28" t="n">
        <v>1</v>
      </c>
    </row>
    <row r="29">
      <c r="A29" t="n">
        <v>738</v>
      </c>
      <c r="B29" t="inlineStr">
        <is>
          <t>CALLE 50 No. 531-E x 69 y 71, CENTRO, 97000 MÉRIDA, YUC.</t>
        </is>
      </c>
      <c r="C29" t="inlineStr">
        <is>
          <t>51. MANUEL JESÚS CHAIDEZ PALACIOS</t>
        </is>
      </c>
      <c r="D29" t="inlineStr">
        <is>
          <t>CAPM841222HSLHLN09</t>
        </is>
      </c>
      <c r="E29">
        <f>E28+1</f>
        <v/>
      </c>
      <c r="F29" t="inlineStr">
        <is>
          <t>DOMICILIO CONOCIDO ANEXO 3, CERCA DE LA COCINA, BECANCHEN, TEKAX, YUC.  CP 97960</t>
        </is>
      </c>
      <c r="G29" t="n">
        <v>9992771732</v>
      </c>
      <c r="H29" t="inlineStr">
        <is>
          <t>manuel.chaidez@valledelsur.com.mx</t>
        </is>
      </c>
      <c r="I29" t="inlineStr">
        <is>
          <t>ESCOPETA</t>
        </is>
      </c>
      <c r="J29" t="inlineStr">
        <is>
          <t xml:space="preserve">12 GA </t>
        </is>
      </c>
      <c r="K29" t="inlineStr">
        <is>
          <t>REMINGTON</t>
        </is>
      </c>
      <c r="L29" t="inlineStr">
        <is>
          <t>870</t>
        </is>
      </c>
      <c r="M29" t="inlineStr">
        <is>
          <t>D 062012 M</t>
        </is>
      </c>
      <c r="N29" t="inlineStr">
        <is>
          <t>A 3061142</t>
        </is>
      </c>
      <c r="O29" t="n">
        <v>0</v>
      </c>
      <c r="P29" t="n">
        <v>1</v>
      </c>
    </row>
    <row r="30">
      <c r="A30" t="n">
        <v>738</v>
      </c>
      <c r="B30" t="inlineStr">
        <is>
          <t>CALLE 50 No. 531-E x 69 y 71, CENTRO, 97000 MÉRIDA, YUC.</t>
        </is>
      </c>
      <c r="C30" t="inlineStr">
        <is>
          <t>51. MANUEL JESÚS CHAIDEZ PALACIOS</t>
        </is>
      </c>
      <c r="D30" t="inlineStr">
        <is>
          <t>CAPM841222HSLHLN09</t>
        </is>
      </c>
      <c r="E30">
        <f>E28+1</f>
        <v/>
      </c>
      <c r="F30" t="inlineStr">
        <is>
          <t>DOMICILIO CONOCIDO ANEXO 3, CERCA DE LA COCINA, BECANCHEN, TEKAX, YUC.  CP 97960</t>
        </is>
      </c>
      <c r="G30" t="n">
        <v>9992771732</v>
      </c>
      <c r="H30" t="inlineStr">
        <is>
          <t>manuel.chaidez@valledelsur.com.mx</t>
        </is>
      </c>
      <c r="I30" t="inlineStr">
        <is>
          <t>ESCOPETA</t>
        </is>
      </c>
      <c r="J30" t="inlineStr">
        <is>
          <t>20 GA</t>
        </is>
      </c>
      <c r="K30" t="inlineStr">
        <is>
          <t>BENELLI</t>
        </is>
      </c>
      <c r="L30" t="inlineStr">
        <is>
          <t>M2</t>
        </is>
      </c>
      <c r="M30" t="inlineStr">
        <is>
          <t>N131954S</t>
        </is>
      </c>
      <c r="N30" t="inlineStr">
        <is>
          <t>A 3061160</t>
        </is>
      </c>
      <c r="O30" t="n">
        <v>0</v>
      </c>
      <c r="P30" t="n">
        <v>1</v>
      </c>
    </row>
    <row r="31">
      <c r="A31" t="n">
        <v>738</v>
      </c>
      <c r="B31" t="inlineStr">
        <is>
          <t>CALLE 50 No. 531-E x 69 y 71, CENTRO, 97000 MÉRIDA, YUC.</t>
        </is>
      </c>
      <c r="C31" t="inlineStr">
        <is>
          <t>51. MANUEL JESÚS CHAIDEZ PALACIOS</t>
        </is>
      </c>
      <c r="D31" t="inlineStr">
        <is>
          <t>CAPM841222HSLHLN09</t>
        </is>
      </c>
      <c r="E31">
        <f>E28+1</f>
        <v/>
      </c>
      <c r="F31" t="inlineStr">
        <is>
          <t>DOMICILIO CONOCIDO ANEXO 3, CERCA DE LA COCINA, BECANCHEN, TEKAX, YUC.  CP 97960</t>
        </is>
      </c>
      <c r="G31" t="n">
        <v>9992771732</v>
      </c>
      <c r="H31" t="inlineStr">
        <is>
          <t>manuel.chaidez@valledelsur.com.mx</t>
        </is>
      </c>
      <c r="I31" t="inlineStr">
        <is>
          <t>ESCOPETA</t>
        </is>
      </c>
      <c r="J31" t="inlineStr">
        <is>
          <t>20 GA</t>
        </is>
      </c>
      <c r="K31" t="inlineStr">
        <is>
          <t>BENELLI</t>
        </is>
      </c>
      <c r="L31" t="inlineStr">
        <is>
          <t>M2</t>
        </is>
      </c>
      <c r="M31" t="inlineStr">
        <is>
          <t>N131929A</t>
        </is>
      </c>
      <c r="N31" t="inlineStr">
        <is>
          <t>A 3421580</t>
        </is>
      </c>
      <c r="O31" t="n">
        <v>0</v>
      </c>
      <c r="P31" t="n">
        <v>1</v>
      </c>
    </row>
    <row r="32">
      <c r="A32" t="n">
        <v>738</v>
      </c>
      <c r="B32" t="inlineStr">
        <is>
          <t>CALLE 50 No. 531-E x 69 y 71, CENTRO, 97000 MÉRIDA, YUC.</t>
        </is>
      </c>
      <c r="C32" t="inlineStr">
        <is>
          <t>51. MANUEL JESÚS CHAIDEZ PALACIOS</t>
        </is>
      </c>
      <c r="D32" t="inlineStr">
        <is>
          <t>CAPM841222HSLHLN09</t>
        </is>
      </c>
      <c r="E32">
        <f>E28+1</f>
        <v/>
      </c>
      <c r="F32" t="inlineStr">
        <is>
          <t>DOMICILIO CONOCIDO ANEXO 3, CERCA DE LA COCINA, BECANCHEN, TEKAX, YUC.  CP 97960</t>
        </is>
      </c>
      <c r="G32" t="n">
        <v>9992771732</v>
      </c>
      <c r="H32" t="inlineStr">
        <is>
          <t>manuel.chaidez@valledelsur.com.mx</t>
        </is>
      </c>
      <c r="I32" t="inlineStr">
        <is>
          <t>ESCOPETA</t>
        </is>
      </c>
      <c r="J32" t="inlineStr">
        <is>
          <t>12 GA</t>
        </is>
      </c>
      <c r="K32" t="inlineStr">
        <is>
          <t>STOEGER</t>
        </is>
      </c>
      <c r="L32" t="inlineStr">
        <is>
          <t>2000</t>
        </is>
      </c>
      <c r="M32" t="inlineStr">
        <is>
          <t>629767</t>
        </is>
      </c>
      <c r="N32" t="inlineStr">
        <is>
          <t>A 3061140</t>
        </is>
      </c>
      <c r="O32" t="n">
        <v>0</v>
      </c>
      <c r="P32" t="n">
        <v>1</v>
      </c>
    </row>
    <row r="33">
      <c r="A33" t="n">
        <v>738</v>
      </c>
      <c r="B33" t="inlineStr">
        <is>
          <t>CALLE 50 No. 531-E x 69 y 71, CENTRO, 97000 MÉRIDA, YUC.</t>
        </is>
      </c>
      <c r="C33" t="inlineStr">
        <is>
          <t>51. MANUEL JESÚS CHAIDEZ PALACIOS</t>
        </is>
      </c>
      <c r="D33" t="inlineStr">
        <is>
          <t>CAPM841222HSLHLN09</t>
        </is>
      </c>
      <c r="E33">
        <f>E28+1</f>
        <v/>
      </c>
      <c r="F33" t="inlineStr">
        <is>
          <t>DOMICILIO CONOCIDO ANEXO 3, CERCA DE LA COCINA, BECANCHEN, TEKAX, YUC.  CP 97960</t>
        </is>
      </c>
      <c r="G33" t="n">
        <v>9992771732</v>
      </c>
      <c r="H33" t="inlineStr">
        <is>
          <t>manuel.chaidez@valledelsur.com.mx</t>
        </is>
      </c>
      <c r="I33" t="inlineStr">
        <is>
          <t>ESCOPETA</t>
        </is>
      </c>
      <c r="J33" t="inlineStr">
        <is>
          <t>12 GA</t>
        </is>
      </c>
      <c r="K33" t="inlineStr">
        <is>
          <t>STOEGER</t>
        </is>
      </c>
      <c r="L33" t="inlineStr">
        <is>
          <t>2000</t>
        </is>
      </c>
      <c r="M33" t="inlineStr">
        <is>
          <t>627884</t>
        </is>
      </c>
      <c r="N33" t="inlineStr">
        <is>
          <t>A 3061141</t>
        </is>
      </c>
      <c r="O33" t="n">
        <v>0</v>
      </c>
      <c r="P33" t="n">
        <v>1</v>
      </c>
    </row>
    <row r="34">
      <c r="A34" t="n">
        <v>738</v>
      </c>
      <c r="B34" t="inlineStr">
        <is>
          <t>CALLE 50 No. 531-E x 69 y 71, CENTRO, 97000 MÉRIDA, YUC.</t>
        </is>
      </c>
      <c r="C34" t="inlineStr">
        <is>
          <t>53. PAULINO EDILBERTO MONFORTE TRAVA</t>
        </is>
      </c>
      <c r="D34" t="inlineStr">
        <is>
          <t>MOTP610622HYNNRL09</t>
        </is>
      </c>
      <c r="E34">
        <f>E39+1</f>
        <v/>
      </c>
      <c r="F34" t="inlineStr">
        <is>
          <t>CALLE 33 No. 331 x 18 y 20 FRACC. PEDREGALES DE TANLUM, MÉRIDA, YUC. CP 97200</t>
        </is>
      </c>
      <c r="G34" t="n">
        <v>9999810995</v>
      </c>
      <c r="H34" t="inlineStr">
        <is>
          <t>talleresmonforte@hotmail.com</t>
        </is>
      </c>
      <c r="I34" t="inlineStr">
        <is>
          <t>ESCOPETA</t>
        </is>
      </c>
      <c r="J34" t="n">
        <v>20</v>
      </c>
      <c r="K34" t="inlineStr">
        <is>
          <t>REMINGTON</t>
        </is>
      </c>
      <c r="L34" t="inlineStr">
        <is>
          <t>870-LW</t>
        </is>
      </c>
      <c r="M34" t="inlineStr">
        <is>
          <t>T-903674-K</t>
        </is>
      </c>
      <c r="N34" t="inlineStr">
        <is>
          <t>B 171337</t>
        </is>
      </c>
      <c r="O34" t="n">
        <v>0</v>
      </c>
      <c r="P34" t="n">
        <v>1</v>
      </c>
    </row>
    <row r="35">
      <c r="A35" t="n">
        <v>738</v>
      </c>
      <c r="B35" t="inlineStr">
        <is>
          <t>CALLE 50 No. 531-E x 69 y 71, CENTRO, 97000 MÉRIDA, YUC.</t>
        </is>
      </c>
      <c r="C35" t="inlineStr">
        <is>
          <t>53. PAULINO EDILBERTO MONFORTE TRAVA</t>
        </is>
      </c>
      <c r="D35" t="inlineStr">
        <is>
          <t>MOTP610622HYNNRL09</t>
        </is>
      </c>
      <c r="E35">
        <f>E39+1</f>
        <v/>
      </c>
      <c r="F35" t="inlineStr">
        <is>
          <t>CALLE 33 No. 331 x 18 y 20 FRACC. PEDREGALES DE TANLUM, MÉRIDA, YUC. CP 97200</t>
        </is>
      </c>
      <c r="G35" t="n">
        <v>9999810995</v>
      </c>
      <c r="H35" t="inlineStr">
        <is>
          <t>talleresmonforte@hotmail.com</t>
        </is>
      </c>
      <c r="I35" t="inlineStr">
        <is>
          <t>ESCOPETA</t>
        </is>
      </c>
      <c r="J35" t="n">
        <v>12</v>
      </c>
      <c r="K35" t="inlineStr">
        <is>
          <t>REMINGTON</t>
        </is>
      </c>
      <c r="L35" t="inlineStr">
        <is>
          <t>1100</t>
        </is>
      </c>
      <c r="M35" t="inlineStr">
        <is>
          <t>N 369521 V</t>
        </is>
      </c>
      <c r="N35" t="inlineStr">
        <is>
          <t>A 1955811</t>
        </is>
      </c>
      <c r="O35" t="n">
        <v>0</v>
      </c>
      <c r="P35" t="n">
        <v>1</v>
      </c>
    </row>
    <row r="36">
      <c r="A36" t="n">
        <v>738</v>
      </c>
      <c r="B36" t="inlineStr">
        <is>
          <t>CALLE 50 No. 531-E x 69 y 71, CENTRO, 97000 MÉRIDA, YUC.</t>
        </is>
      </c>
      <c r="C36" t="inlineStr">
        <is>
          <t>53. PAULINO EDILBERTO MONFORTE TRAVA</t>
        </is>
      </c>
      <c r="D36" t="inlineStr">
        <is>
          <t>MOTP610622HYNNRL09</t>
        </is>
      </c>
      <c r="E36">
        <f>E39+1</f>
        <v/>
      </c>
      <c r="F36" t="inlineStr">
        <is>
          <t>CALLE 33 No. 331 x 18 y 20 FRACC. PEDREGALES DE TANLUM, MÉRIDA, YUC. CP 97200</t>
        </is>
      </c>
      <c r="G36" t="n">
        <v>9999810995</v>
      </c>
      <c r="H36" t="inlineStr">
        <is>
          <t>talleresmonforte@hotmail.com</t>
        </is>
      </c>
      <c r="I36" t="inlineStr">
        <is>
          <t>ESCOPETA</t>
        </is>
      </c>
      <c r="J36" t="inlineStr">
        <is>
          <t>12 GA</t>
        </is>
      </c>
      <c r="K36" t="inlineStr">
        <is>
          <t>FABARM</t>
        </is>
      </c>
      <c r="L36" t="inlineStr">
        <is>
          <t>LION H368</t>
        </is>
      </c>
      <c r="M36" t="inlineStr">
        <is>
          <t>FA036796</t>
        </is>
      </c>
      <c r="N36" t="inlineStr">
        <is>
          <t>A 3287014</t>
        </is>
      </c>
      <c r="O36" t="n">
        <v>0</v>
      </c>
      <c r="P36" t="n">
        <v>1</v>
      </c>
    </row>
    <row r="37">
      <c r="A37" t="n">
        <v>738</v>
      </c>
      <c r="B37" t="inlineStr">
        <is>
          <t>CALLE 50 No. 531-E x 69 y 71, CENTRO, 97000 MÉRIDA, YUC.</t>
        </is>
      </c>
      <c r="C37" t="inlineStr">
        <is>
          <t>53. PAULINO EDILBERTO MONFORTE TRAVA</t>
        </is>
      </c>
      <c r="D37" t="inlineStr">
        <is>
          <t>MOTP610622HYNNRL09</t>
        </is>
      </c>
      <c r="E37">
        <f>E39+1</f>
        <v/>
      </c>
      <c r="F37" t="inlineStr">
        <is>
          <t>CALLE 33 No. 331 x 18 y 20 FRACC. PEDREGALES DE TANLUM, MÉRIDA, YUC. CP 97200</t>
        </is>
      </c>
      <c r="G37" t="n">
        <v>9999810995</v>
      </c>
      <c r="H37" t="inlineStr">
        <is>
          <t>talleresmonforte@hotmail.com</t>
        </is>
      </c>
      <c r="I37" t="inlineStr">
        <is>
          <t>RIFLE</t>
        </is>
      </c>
      <c r="J37" t="inlineStr">
        <is>
          <t>0.22" L.R.</t>
        </is>
      </c>
      <c r="K37" t="inlineStr">
        <is>
          <t>GLENFIELD</t>
        </is>
      </c>
      <c r="L37" t="inlineStr">
        <is>
          <t>60</t>
        </is>
      </c>
      <c r="M37" t="inlineStr">
        <is>
          <t>25345906</t>
        </is>
      </c>
      <c r="N37" t="inlineStr">
        <is>
          <t>A 3287016</t>
        </is>
      </c>
      <c r="O37" t="n">
        <v>0</v>
      </c>
      <c r="P37" t="n">
        <v>1</v>
      </c>
    </row>
    <row r="38">
      <c r="A38" t="n">
        <v>738</v>
      </c>
      <c r="B38" t="inlineStr">
        <is>
          <t>CALLE 50 No. 531-E x 69 y 71, CENTRO, 97000 MÉRIDA, YUC.</t>
        </is>
      </c>
      <c r="C38" t="inlineStr">
        <is>
          <t>53. PAULINO EDILBERTO MONFORTE TRAVA</t>
        </is>
      </c>
      <c r="D38" t="inlineStr">
        <is>
          <t>MOTP610622HYNNRL09</t>
        </is>
      </c>
      <c r="E38">
        <f>E39+1</f>
        <v/>
      </c>
      <c r="F38" t="inlineStr">
        <is>
          <t>CALLE 33 No. 331 x 18 y 20 FRACC. PEDREGALES DE TANLUM, MÉRIDA, YUC. CP 97200</t>
        </is>
      </c>
      <c r="G38" t="n">
        <v>9999810995</v>
      </c>
      <c r="H38" t="inlineStr">
        <is>
          <t>talleresmonforte@hotmail.com</t>
        </is>
      </c>
      <c r="I38" t="inlineStr">
        <is>
          <t>ESCOPETA</t>
        </is>
      </c>
      <c r="J38" t="inlineStr">
        <is>
          <t>12 GA</t>
        </is>
      </c>
      <c r="K38" t="inlineStr">
        <is>
          <t>BROWNING</t>
        </is>
      </c>
      <c r="L38" t="inlineStr">
        <is>
          <t>XS SPECIAL</t>
        </is>
      </c>
      <c r="M38" t="inlineStr">
        <is>
          <t>06649ZZ</t>
        </is>
      </c>
      <c r="N38" t="inlineStr">
        <is>
          <t>B 295396</t>
        </is>
      </c>
      <c r="O38" t="n">
        <v>0</v>
      </c>
      <c r="P38" t="n">
        <v>1</v>
      </c>
    </row>
    <row r="39">
      <c r="A39" t="n">
        <v>738</v>
      </c>
      <c r="B39" t="inlineStr">
        <is>
          <t>CALLE 50 No. 531-E x 69 y 71, CENTRO, 97000 MÉRIDA, YUC.</t>
        </is>
      </c>
      <c r="C39" t="inlineStr">
        <is>
          <t>53. PAULINO EDILBERTO MONFORTE TRAVA</t>
        </is>
      </c>
      <c r="D39" t="inlineStr">
        <is>
          <t>MOTP610622HYNNRL09</t>
        </is>
      </c>
      <c r="E39">
        <f>E39+1</f>
        <v/>
      </c>
      <c r="F39" t="inlineStr">
        <is>
          <t>CALLE 33 No. 331 x 18 y 20 FRACC. PEDREGALES DE TANLUM, MÉRIDA, YUC. CP 97200</t>
        </is>
      </c>
      <c r="G39" t="n">
        <v>9999810995</v>
      </c>
      <c r="H39" t="inlineStr">
        <is>
          <t>talleresmonforte@hotmail.com</t>
        </is>
      </c>
      <c r="I39" t="inlineStr">
        <is>
          <t>RIFLE</t>
        </is>
      </c>
      <c r="J39" t="inlineStr">
        <is>
          <t>0.243" WIN</t>
        </is>
      </c>
      <c r="K39" t="inlineStr">
        <is>
          <t>SAVAGE</t>
        </is>
      </c>
      <c r="L39" t="inlineStr">
        <is>
          <t>AXIS</t>
        </is>
      </c>
      <c r="M39" t="inlineStr">
        <is>
          <t>K839383</t>
        </is>
      </c>
      <c r="N39" t="inlineStr">
        <is>
          <t>F 296282</t>
        </is>
      </c>
      <c r="O39" t="n">
        <v>0</v>
      </c>
      <c r="P39" t="n">
        <v>1</v>
      </c>
    </row>
    <row r="40">
      <c r="A40" t="n">
        <v>738</v>
      </c>
      <c r="B40" t="inlineStr">
        <is>
          <t>CALLE 50 No. 531-E x 69 y 71, CENTRO, 97000 MÉRIDA, YUC.</t>
        </is>
      </c>
      <c r="C40" t="inlineStr">
        <is>
          <t>53. PAULINO EDILBERTO MONFORTE TRAVA</t>
        </is>
      </c>
      <c r="D40" t="inlineStr">
        <is>
          <t>MOTP610622HYNNRL09</t>
        </is>
      </c>
      <c r="E40">
        <f>E39+1</f>
        <v/>
      </c>
      <c r="F40" t="inlineStr">
        <is>
          <t>CALLE 33 No. 331 x 18 y 20 FRACC. PEDREGALES DE TANLUM, MÉRIDA, YUC. CP 97200</t>
        </is>
      </c>
      <c r="G40" t="n">
        <v>9999810995</v>
      </c>
      <c r="H40" t="inlineStr">
        <is>
          <t>talleresmonforte@hotmail.com</t>
        </is>
      </c>
      <c r="I40" t="inlineStr">
        <is>
          <t>RIFLE</t>
        </is>
      </c>
      <c r="J40" t="inlineStr">
        <is>
          <t>0.243" WIN</t>
        </is>
      </c>
      <c r="K40" t="inlineStr">
        <is>
          <t>REMINGTON</t>
        </is>
      </c>
      <c r="L40" t="inlineStr">
        <is>
          <t>700</t>
        </is>
      </c>
      <c r="M40" t="inlineStr">
        <is>
          <t>G7138010</t>
        </is>
      </c>
      <c r="N40" t="inlineStr">
        <is>
          <t>A 3420203</t>
        </is>
      </c>
      <c r="O40" t="n">
        <v>0</v>
      </c>
      <c r="P40" t="n">
        <v>1</v>
      </c>
    </row>
    <row r="41">
      <c r="A41" t="n">
        <v>738</v>
      </c>
      <c r="B41" t="inlineStr">
        <is>
          <t>CALLE 50 No. 531-E x 69 y 71, CENTRO, 97000 MÉRIDA, YUC.</t>
        </is>
      </c>
      <c r="C41" t="inlineStr">
        <is>
          <t>70. RIGOMAR HINOJOSA SHIELDS</t>
        </is>
      </c>
      <c r="D41" t="inlineStr">
        <is>
          <t>HISR591125HCCNHG06</t>
        </is>
      </c>
      <c r="E41">
        <f>E45+1</f>
        <v/>
      </c>
      <c r="F41" t="inlineStr">
        <is>
          <t>AV. EUGENIO ECHEVERRÍA CASTELLOT No. 37 ENTRE 36 Y 38, COL. PLAYA NORTE, CD. DEL CARMEN, CAMP. CP 24115</t>
        </is>
      </c>
      <c r="G41" t="n">
        <v>9381200721</v>
      </c>
      <c r="H41" t="inlineStr">
        <is>
          <t>recosadecv@prodigy.net.mx</t>
        </is>
      </c>
      <c r="I41" t="inlineStr">
        <is>
          <t>RIFLE</t>
        </is>
      </c>
      <c r="J41" t="inlineStr">
        <is>
          <t>.22" L.R.</t>
        </is>
      </c>
      <c r="K41" t="inlineStr">
        <is>
          <t>REMINGTON</t>
        </is>
      </c>
      <c r="L41" t="inlineStr">
        <is>
          <t>597</t>
        </is>
      </c>
      <c r="M41" t="inlineStr">
        <is>
          <t>A2628160</t>
        </is>
      </c>
      <c r="N41" t="inlineStr">
        <is>
          <t>A 3770352</t>
        </is>
      </c>
      <c r="O41" t="n">
        <v>0</v>
      </c>
      <c r="P41" t="n">
        <v>1</v>
      </c>
    </row>
    <row r="42">
      <c r="A42" t="n">
        <v>738</v>
      </c>
      <c r="B42" t="inlineStr">
        <is>
          <t>CALLE 50 No. 531-E x 69 y 71, CENTRO, 97000 MÉRIDA, YUC.</t>
        </is>
      </c>
      <c r="C42" t="inlineStr">
        <is>
          <t>70. RIGOMAR HINOJOSA SHIELDS</t>
        </is>
      </c>
      <c r="D42" t="inlineStr">
        <is>
          <t>HISR591125HCCNHG06</t>
        </is>
      </c>
      <c r="E42">
        <f>E45+1</f>
        <v/>
      </c>
      <c r="F42" t="inlineStr">
        <is>
          <t>AV. EUGENIO ECHEVERRÍA CASTELLOT No. 37 ENTRE 36 Y 38, COL. PLAYA NORTE, CD. DEL CARMEN, CAMP. CP 24115</t>
        </is>
      </c>
      <c r="G42" t="n">
        <v>9381200721</v>
      </c>
      <c r="H42" t="inlineStr">
        <is>
          <t>recosadecv@prodigy.net.mx</t>
        </is>
      </c>
      <c r="I42" t="inlineStr">
        <is>
          <t>PISTOLA</t>
        </is>
      </c>
      <c r="J42" t="inlineStr">
        <is>
          <t>.22" MAG.</t>
        </is>
      </c>
      <c r="K42" t="inlineStr">
        <is>
          <t>KEL-TEC</t>
        </is>
      </c>
      <c r="L42" t="inlineStr">
        <is>
          <t>PMR-30</t>
        </is>
      </c>
      <c r="M42" t="inlineStr">
        <is>
          <t>WYHA35</t>
        </is>
      </c>
      <c r="N42" t="inlineStr">
        <is>
          <t>A3816658</t>
        </is>
      </c>
      <c r="O42" t="n">
        <v>1</v>
      </c>
    </row>
    <row r="43">
      <c r="A43" t="n">
        <v>738</v>
      </c>
      <c r="B43" t="inlineStr">
        <is>
          <t>CALLE 50 No. 531-E x 69 y 71, CENTRO, 97000 MÉRIDA, YUC.</t>
        </is>
      </c>
      <c r="C43" t="inlineStr">
        <is>
          <t>70. RIGOMAR HINOJOSA SHIELDS</t>
        </is>
      </c>
      <c r="D43" t="inlineStr">
        <is>
          <t>HISR591125HCCNHG06</t>
        </is>
      </c>
      <c r="E43">
        <f>E45+1</f>
        <v/>
      </c>
      <c r="F43" t="inlineStr">
        <is>
          <t>AV. EUGENIO ECHEVERRÍA CASTELLOT No. 37 ENTRE 36 Y 38, COL. PLAYA NORTE, CD. DEL CARMEN, CAMP. CP 24115</t>
        </is>
      </c>
      <c r="G43" t="n">
        <v>9381200721</v>
      </c>
      <c r="H43" t="inlineStr">
        <is>
          <t>recosadecv@prodigy.net.mx</t>
        </is>
      </c>
      <c r="I43" t="inlineStr">
        <is>
          <t>RIFLE</t>
        </is>
      </c>
      <c r="J43" t="inlineStr">
        <is>
          <t>.22" L.R.</t>
        </is>
      </c>
      <c r="K43" t="inlineStr">
        <is>
          <t>CESKA ZBROJOVKA</t>
        </is>
      </c>
      <c r="L43" t="inlineStr">
        <is>
          <t>CZ452-2E ZKM</t>
        </is>
      </c>
      <c r="M43" t="inlineStr">
        <is>
          <t>A680692</t>
        </is>
      </c>
      <c r="N43" t="inlineStr">
        <is>
          <t>A 3632985</t>
        </is>
      </c>
      <c r="O43" t="n">
        <v>0</v>
      </c>
      <c r="P43" t="n">
        <v>1</v>
      </c>
    </row>
    <row r="44">
      <c r="A44" t="n">
        <v>738</v>
      </c>
      <c r="B44" t="inlineStr">
        <is>
          <t>CALLE 50 No. 531-E x 69 y 71, CENTRO, 97000 MÉRIDA, YUC.</t>
        </is>
      </c>
      <c r="C44" t="inlineStr">
        <is>
          <t>70. RIGOMAR HINOJOSA SHIELDS</t>
        </is>
      </c>
      <c r="D44" t="inlineStr">
        <is>
          <t>HISR591125HCCNHG06</t>
        </is>
      </c>
      <c r="E44">
        <f>E45+1</f>
        <v/>
      </c>
      <c r="F44" t="inlineStr">
        <is>
          <t>AV. EUGENIO ECHEVERRÍA CASTELLOT No. 37 ENTRE 36 Y 38, COL. PLAYA NORTE, CD. DEL CARMEN, CAMP. CP 24115</t>
        </is>
      </c>
      <c r="G44" t="n">
        <v>9381200721</v>
      </c>
      <c r="H44" t="inlineStr">
        <is>
          <t>recosadecv@prodigy.net.mx</t>
        </is>
      </c>
      <c r="I44" t="inlineStr">
        <is>
          <t>PISTOLA</t>
        </is>
      </c>
      <c r="J44" t="inlineStr">
        <is>
          <t>.22" L.R.</t>
        </is>
      </c>
      <c r="K44" t="inlineStr">
        <is>
          <t>WALTHER</t>
        </is>
      </c>
      <c r="L44" t="inlineStr">
        <is>
          <t>GSP EXPERT</t>
        </is>
      </c>
      <c r="M44" t="inlineStr">
        <is>
          <t>247015</t>
        </is>
      </c>
      <c r="N44" t="inlineStr">
        <is>
          <t>A 3632980</t>
        </is>
      </c>
      <c r="O44" t="n">
        <v>1</v>
      </c>
      <c r="P44" t="n">
        <v>0</v>
      </c>
    </row>
    <row r="45">
      <c r="A45" t="n">
        <v>738</v>
      </c>
      <c r="B45" t="inlineStr">
        <is>
          <t>CALLE 50 No. 531-E x 69 y 71, CENTRO, 97000 MÉRIDA, YUC.</t>
        </is>
      </c>
      <c r="C45" t="inlineStr">
        <is>
          <t>70. RIGOMAR HINOJOSA SHIELDS</t>
        </is>
      </c>
      <c r="D45" t="inlineStr">
        <is>
          <t>HISR591125HCCNHG06</t>
        </is>
      </c>
      <c r="E45">
        <f>E45+1</f>
        <v/>
      </c>
      <c r="F45" t="inlineStr">
        <is>
          <t>AV. EUGENIO ECHEVERRÍA CASTELLOT No. 37 ENTRE 36 Y 38, COL. PLAYA NORTE, CD. DEL CARMEN, CAMP. CP 24115</t>
        </is>
      </c>
      <c r="G45" t="n">
        <v>9381200721</v>
      </c>
      <c r="H45" t="inlineStr">
        <is>
          <t>recosadecv@prodigy.net.mx</t>
        </is>
      </c>
      <c r="I45" t="inlineStr">
        <is>
          <t>PISTOLA</t>
        </is>
      </c>
      <c r="J45" t="inlineStr">
        <is>
          <t>.380"</t>
        </is>
      </c>
      <c r="K45" t="inlineStr">
        <is>
          <t>GLOCK</t>
        </is>
      </c>
      <c r="L45" t="inlineStr">
        <is>
          <t>25</t>
        </is>
      </c>
      <c r="M45" t="inlineStr">
        <is>
          <t>NRY223</t>
        </is>
      </c>
      <c r="N45" t="inlineStr">
        <is>
          <t>A 3632959</t>
        </is>
      </c>
      <c r="O45" t="n">
        <v>1</v>
      </c>
      <c r="P45" t="n">
        <v>0</v>
      </c>
    </row>
    <row r="46">
      <c r="A46" t="n">
        <v>738</v>
      </c>
      <c r="B46" t="inlineStr">
        <is>
          <t>CALLE 50 No. 531-E x 69 y 71, CENTRO, 97000 MÉRIDA, YUC.</t>
        </is>
      </c>
      <c r="C46" t="inlineStr">
        <is>
          <t>70. RIGOMAR HINOJOSA SHIELDS</t>
        </is>
      </c>
      <c r="D46" t="inlineStr">
        <is>
          <t>HISR591125HCCNHG06</t>
        </is>
      </c>
      <c r="E46">
        <f>E45+1</f>
        <v/>
      </c>
      <c r="F46" t="inlineStr">
        <is>
          <t>AV. EUGENIO ECHEVERRÍA CASTELLOT No. 37 ENTRE 36 Y 38, COL. PLAYA NORTE, CD. DEL CARMEN, CAMP. CP 24115</t>
        </is>
      </c>
      <c r="G46" t="n">
        <v>9381200721</v>
      </c>
      <c r="H46" t="inlineStr">
        <is>
          <t>recosadecv@prodigy.net.mx</t>
        </is>
      </c>
      <c r="I46" t="inlineStr">
        <is>
          <t>PISTOLA</t>
        </is>
      </c>
      <c r="J46" t="inlineStr">
        <is>
          <t>.22 L.R.</t>
        </is>
      </c>
      <c r="K46" t="inlineStr">
        <is>
          <t>BERETTA</t>
        </is>
      </c>
      <c r="L46" t="inlineStr">
        <is>
          <t>92</t>
        </is>
      </c>
      <c r="M46" t="inlineStr">
        <is>
          <t>L121148Z</t>
        </is>
      </c>
      <c r="N46" t="inlineStr">
        <is>
          <t>A 3615165</t>
        </is>
      </c>
      <c r="O46" t="n">
        <v>1</v>
      </c>
      <c r="P46" t="n">
        <v>0</v>
      </c>
    </row>
    <row r="47">
      <c r="A47" t="n">
        <v>738</v>
      </c>
      <c r="B47" t="inlineStr">
        <is>
          <t>CALLE 50 No. 531-E x 69 y 71, CENTRO, 97000 MÉRIDA, YUC.</t>
        </is>
      </c>
      <c r="C47" t="inlineStr">
        <is>
          <t>70. RIGOMAR HINOJOSA SHIELDS</t>
        </is>
      </c>
      <c r="D47" t="inlineStr">
        <is>
          <t>HISR591125HCCNHG06</t>
        </is>
      </c>
      <c r="E47">
        <f>E45+1</f>
        <v/>
      </c>
      <c r="F47" t="inlineStr">
        <is>
          <t>AV. EUGENIO ECHEVERRÍA CASTELLOT No. 37 ENTRE 36 Y 38, COL. PLAYA NORTE, CD. DEL CARMEN, CAMP. CP 24115</t>
        </is>
      </c>
      <c r="G47" t="n">
        <v>9381200721</v>
      </c>
      <c r="H47" t="inlineStr">
        <is>
          <t>recosadecv@prodigy.net.mx</t>
        </is>
      </c>
      <c r="I47" t="inlineStr">
        <is>
          <t>PISTOLA</t>
        </is>
      </c>
      <c r="J47" t="inlineStr">
        <is>
          <t>0.380" AUTO</t>
        </is>
      </c>
      <c r="K47" t="inlineStr">
        <is>
          <t>CESKA ZBROJOVKA</t>
        </is>
      </c>
      <c r="L47" t="inlineStr">
        <is>
          <t>CZ P 07</t>
        </is>
      </c>
      <c r="M47" t="inlineStr">
        <is>
          <t>C343174</t>
        </is>
      </c>
      <c r="N47" t="inlineStr">
        <is>
          <t>A 3634306</t>
        </is>
      </c>
      <c r="O47" t="n">
        <v>1</v>
      </c>
      <c r="P47" t="n">
        <v>0</v>
      </c>
    </row>
    <row r="48">
      <c r="A48" t="n">
        <v>738</v>
      </c>
      <c r="B48" t="inlineStr">
        <is>
          <t>CALLE 50 No. 531-E x 69 y 71, CENTRO, 97000 MÉRIDA, YUC.</t>
        </is>
      </c>
      <c r="C48" t="inlineStr">
        <is>
          <t>70. RIGOMAR HINOJOSA SHIELDS</t>
        </is>
      </c>
      <c r="D48" t="inlineStr">
        <is>
          <t>HISR591125HCCNHG06</t>
        </is>
      </c>
      <c r="E48">
        <f>E45+1</f>
        <v/>
      </c>
      <c r="F48" t="inlineStr">
        <is>
          <t>AV. EUGENIO ECHEVERRÍA CASTELLOT No. 37 ENTRE 36 Y 38, COL. PLAYA NORTE, CD. DEL CARMEN, CAMP. CP 24115</t>
        </is>
      </c>
      <c r="G48" t="n">
        <v>9381200721</v>
      </c>
      <c r="H48" t="inlineStr">
        <is>
          <t>recosadecv@prodigy.net.mx</t>
        </is>
      </c>
      <c r="I48" t="inlineStr">
        <is>
          <t>ESCOPETA</t>
        </is>
      </c>
      <c r="J48" t="inlineStr">
        <is>
          <t>12 GA</t>
        </is>
      </c>
      <c r="K48" t="inlineStr">
        <is>
          <t>WINCHESTER</t>
        </is>
      </c>
      <c r="L48" t="inlineStr">
        <is>
          <t>SX3</t>
        </is>
      </c>
      <c r="M48" t="inlineStr">
        <is>
          <t>11HZX03035</t>
        </is>
      </c>
      <c r="N48" t="inlineStr">
        <is>
          <t>A 3632954</t>
        </is>
      </c>
      <c r="O48" t="n">
        <v>0</v>
      </c>
      <c r="P48" t="n">
        <v>1</v>
      </c>
    </row>
    <row r="49">
      <c r="A49" t="n">
        <v>738</v>
      </c>
      <c r="B49" t="inlineStr">
        <is>
          <t>CALLE 50 No. 531-E x 69 y 71, CENTRO, 97000 MÉRIDA, YUC.</t>
        </is>
      </c>
      <c r="C49" t="inlineStr">
        <is>
          <t>70. RIGOMAR HINOJOSA SHIELDS</t>
        </is>
      </c>
      <c r="D49" t="inlineStr">
        <is>
          <t>HISR591125HCCNHG06</t>
        </is>
      </c>
      <c r="E49">
        <f>E45+1</f>
        <v/>
      </c>
      <c r="F49" t="inlineStr">
        <is>
          <t>AV. EUGENIO ECHEVERRÍA CASTELLOT No. 37 ENTRE 36 Y 38, COL. PLAYA NORTE, CD. DEL CARMEN, CAMP. CP 24115</t>
        </is>
      </c>
      <c r="G49" t="n">
        <v>9381200721</v>
      </c>
      <c r="H49" t="inlineStr">
        <is>
          <t>recosadecv@prodigy.net.mx</t>
        </is>
      </c>
      <c r="I49" t="inlineStr">
        <is>
          <t>RIFLE</t>
        </is>
      </c>
      <c r="J49" t="inlineStr">
        <is>
          <t>.22" L.R.</t>
        </is>
      </c>
      <c r="K49" t="inlineStr">
        <is>
          <t>COLT</t>
        </is>
      </c>
      <c r="L49" t="inlineStr">
        <is>
          <t>M4</t>
        </is>
      </c>
      <c r="M49" t="inlineStr">
        <is>
          <t>BP053312</t>
        </is>
      </c>
      <c r="N49" t="inlineStr">
        <is>
          <t>A 3633237</t>
        </is>
      </c>
      <c r="O49" t="n">
        <v>0</v>
      </c>
      <c r="P49" t="n">
        <v>1</v>
      </c>
    </row>
    <row r="50">
      <c r="A50" t="n">
        <v>738</v>
      </c>
      <c r="B50" t="inlineStr">
        <is>
          <t>CALLE 50 No. 531-E x 69 y 71, CENTRO, 97000 MÉRIDA, YUC.</t>
        </is>
      </c>
      <c r="C50" t="inlineStr">
        <is>
          <t>70. RIGOMAR HINOJOSA SHIELDS</t>
        </is>
      </c>
      <c r="D50" t="inlineStr">
        <is>
          <t>HISR591125HCCNHG06</t>
        </is>
      </c>
      <c r="E50">
        <f>E45+1</f>
        <v/>
      </c>
      <c r="F50" t="inlineStr">
        <is>
          <t>AV. EUGENIO ECHEVERRÍA CASTELLOT No. 37 ENTRE 36 Y 38, COL. PLAYA NORTE, CD. DEL CARMEN, CAMP. CP 24115</t>
        </is>
      </c>
      <c r="G50" t="n">
        <v>9381200721</v>
      </c>
      <c r="H50" t="inlineStr">
        <is>
          <t>recosadecv@prodigy.net.mx</t>
        </is>
      </c>
      <c r="I50" t="inlineStr">
        <is>
          <t>RIFLE</t>
        </is>
      </c>
      <c r="J50" t="inlineStr">
        <is>
          <t>223" REM</t>
        </is>
      </c>
      <c r="K50" t="inlineStr">
        <is>
          <t>CESKA ZBROJOVKA</t>
        </is>
      </c>
      <c r="L50" t="inlineStr">
        <is>
          <t>CZ 527 VARMINT</t>
        </is>
      </c>
      <c r="M50" t="inlineStr">
        <is>
          <t>A804451</t>
        </is>
      </c>
      <c r="N50" t="inlineStr">
        <is>
          <t>A 3632972</t>
        </is>
      </c>
      <c r="O50" t="n">
        <v>0</v>
      </c>
      <c r="P50" t="n">
        <v>1</v>
      </c>
    </row>
    <row r="51">
      <c r="A51" t="n">
        <v>738</v>
      </c>
      <c r="B51" t="inlineStr">
        <is>
          <t>CALLE 50 No. 531-E x 69 y 71, CENTRO, 97000 MÉRIDA, YUC.</t>
        </is>
      </c>
      <c r="C51" t="inlineStr">
        <is>
          <t>74. JUAN CARLOS JORDAN LOPEZ</t>
        </is>
      </c>
      <c r="D51" t="inlineStr">
        <is>
          <t>JOLJ720624HYNRPN04</t>
        </is>
      </c>
      <c r="E51">
        <f>E53+1</f>
        <v/>
      </c>
      <c r="F51" t="inlineStr">
        <is>
          <t>CALLE 16-B No. 225 x 39-B y 39-F COL. SAN PEDRO CHOLUL, MÉRIDA, YUC. CP 97138</t>
        </is>
      </c>
      <c r="G51" t="n">
        <v>9999258499</v>
      </c>
      <c r="H51" t="inlineStr">
        <is>
          <t>jordan910@hotmail.com</t>
        </is>
      </c>
      <c r="I51" t="inlineStr">
        <is>
          <t>RIFLE</t>
        </is>
      </c>
      <c r="J51" t="inlineStr">
        <is>
          <t>0.22" L.R.</t>
        </is>
      </c>
      <c r="K51" t="inlineStr">
        <is>
          <t>HK</t>
        </is>
      </c>
      <c r="L51" t="inlineStr">
        <is>
          <t>HK416D</t>
        </is>
      </c>
      <c r="M51" t="inlineStr">
        <is>
          <t>HK006250</t>
        </is>
      </c>
      <c r="N51" t="inlineStr">
        <is>
          <t>A 3421653</t>
        </is>
      </c>
      <c r="O51" t="n">
        <v>0</v>
      </c>
      <c r="P51" t="n">
        <v>1</v>
      </c>
    </row>
    <row r="52">
      <c r="A52" t="n">
        <v>738</v>
      </c>
      <c r="B52" t="inlineStr">
        <is>
          <t>CALLE 50 No. 531-E x 69 y 71, CENTRO, 97000 MÉRIDA, YUC.</t>
        </is>
      </c>
      <c r="C52" t="inlineStr">
        <is>
          <t>74. JUAN CARLOS JORDAN LOPEZ</t>
        </is>
      </c>
      <c r="D52" t="inlineStr">
        <is>
          <t>JOLJ720624HYNRPN04</t>
        </is>
      </c>
      <c r="E52">
        <f>E53+1</f>
        <v/>
      </c>
      <c r="F52" t="inlineStr">
        <is>
          <t>CALLE 16-B No. 225 x 39-B y 39-F COL. SAN PEDRO CHOLUL, MÉRIDA, YUC. CP 97138</t>
        </is>
      </c>
      <c r="G52" t="n">
        <v>9999258499</v>
      </c>
      <c r="H52" t="inlineStr">
        <is>
          <t>jordan910@hotmail.com</t>
        </is>
      </c>
      <c r="I52" t="inlineStr">
        <is>
          <t>RIFLE</t>
        </is>
      </c>
      <c r="J52" t="inlineStr">
        <is>
          <t>300 WIN. MAG.</t>
        </is>
      </c>
      <c r="K52" t="inlineStr">
        <is>
          <t>CESKA ZBROJOVKA</t>
        </is>
      </c>
      <c r="L52" t="inlineStr">
        <is>
          <t>CZ 550 MAGNUM</t>
        </is>
      </c>
      <c r="M52" t="inlineStr">
        <is>
          <t>K5006</t>
        </is>
      </c>
      <c r="N52" t="inlineStr">
        <is>
          <t>A 3421657</t>
        </is>
      </c>
      <c r="O52" t="n">
        <v>0</v>
      </c>
      <c r="P52" t="n">
        <v>1</v>
      </c>
    </row>
    <row r="53">
      <c r="A53" t="n">
        <v>738</v>
      </c>
      <c r="B53" t="inlineStr">
        <is>
          <t>CALLE 50 No. 531-E x 69 y 71, CENTRO, 97000 MÉRIDA, YUC.</t>
        </is>
      </c>
      <c r="C53" t="inlineStr">
        <is>
          <t>74. JUAN CARLOS JORDAN LOPEZ</t>
        </is>
      </c>
      <c r="D53" t="inlineStr">
        <is>
          <t>JOLJ720624HYNRPN04</t>
        </is>
      </c>
      <c r="E53">
        <f>E53+1</f>
        <v/>
      </c>
      <c r="F53" t="inlineStr">
        <is>
          <t>CALLE 16-B No. 225 x 39-B y 39-F COL. SAN PEDRO CHOLUL, MÉRIDA, YUC. CP 97138</t>
        </is>
      </c>
      <c r="G53" t="n">
        <v>9999258499</v>
      </c>
      <c r="H53" t="inlineStr">
        <is>
          <t>jordan910@hotmail.com</t>
        </is>
      </c>
      <c r="I53" t="inlineStr">
        <is>
          <t>RIFLE</t>
        </is>
      </c>
      <c r="J53" t="inlineStr">
        <is>
          <t>0.223" REM.</t>
        </is>
      </c>
      <c r="K53" t="inlineStr">
        <is>
          <t>BENELLI</t>
        </is>
      </c>
      <c r="L53" t="inlineStr">
        <is>
          <t>MR1</t>
        </is>
      </c>
      <c r="M53" t="inlineStr">
        <is>
          <t>BC008469T</t>
        </is>
      </c>
      <c r="N53" t="inlineStr">
        <is>
          <t>B 405083</t>
        </is>
      </c>
      <c r="O53" t="n">
        <v>0</v>
      </c>
      <c r="P53" t="n">
        <v>1</v>
      </c>
    </row>
    <row r="54">
      <c r="A54" t="n">
        <v>738</v>
      </c>
      <c r="B54" t="inlineStr">
        <is>
          <t>CALLE 50 No. 531-E x 69 y 71, CENTRO, 97000 MÉRIDA, YUC.</t>
        </is>
      </c>
      <c r="C54" t="inlineStr">
        <is>
          <t>74. JUAN CARLOS JORDAN LOPEZ</t>
        </is>
      </c>
      <c r="D54" t="inlineStr">
        <is>
          <t>JOLJ720624HYNRPN04</t>
        </is>
      </c>
      <c r="E54">
        <f>E53+1</f>
        <v/>
      </c>
      <c r="F54" t="inlineStr">
        <is>
          <t>CALLE 16-B No. 225 x 39-B y 39-F COL. SAN PEDRO CHOLUL, MÉRIDA, YUC. CP 97138</t>
        </is>
      </c>
      <c r="G54" t="n">
        <v>9999258499</v>
      </c>
      <c r="H54" t="inlineStr">
        <is>
          <t>jordan910@hotmail.com</t>
        </is>
      </c>
      <c r="I54" t="inlineStr">
        <is>
          <t>RIFLE</t>
        </is>
      </c>
      <c r="J54" t="inlineStr">
        <is>
          <t>.243" WIN.</t>
        </is>
      </c>
      <c r="K54" t="inlineStr">
        <is>
          <t>REMINGTON</t>
        </is>
      </c>
      <c r="L54" t="inlineStr">
        <is>
          <t>700</t>
        </is>
      </c>
      <c r="M54" t="inlineStr">
        <is>
          <t>RR22710A</t>
        </is>
      </c>
      <c r="N54" t="inlineStr">
        <is>
          <t>A 3421651</t>
        </is>
      </c>
      <c r="O54" t="n">
        <v>0</v>
      </c>
      <c r="P54" t="n">
        <v>1</v>
      </c>
    </row>
    <row r="55">
      <c r="A55" t="n">
        <v>738</v>
      </c>
      <c r="B55" t="inlineStr">
        <is>
          <t>CALLE 50 No. 531-E x 69 y 71, CENTRO, 97000 MÉRIDA, YUC.</t>
        </is>
      </c>
      <c r="C55" t="inlineStr">
        <is>
          <t>87. JORGE ALFREDO DAWN MEDINA</t>
        </is>
      </c>
      <c r="D55" t="inlineStr">
        <is>
          <t>DAMJ690611HYNWDR03</t>
        </is>
      </c>
      <c r="E55">
        <f>E64+1</f>
        <v/>
      </c>
      <c r="F55" t="inlineStr">
        <is>
          <t>CALLE 47-C S/N x 2-A y 4 COL. LEANDRO VALLE DE CHICHI DÍAZ, MÉRIDA, YUC. CP 97143</t>
        </is>
      </c>
      <c r="G55" t="inlineStr">
        <is>
          <t>9999005153</t>
        </is>
      </c>
      <c r="H55" t="inlineStr">
        <is>
          <t>jorgedawn@prodigy.net.mx</t>
        </is>
      </c>
      <c r="I55" t="inlineStr">
        <is>
          <t>ESCOPETA</t>
        </is>
      </c>
      <c r="J55" t="inlineStr">
        <is>
          <t>12</t>
        </is>
      </c>
      <c r="K55" t="inlineStr">
        <is>
          <t>BENELLI</t>
        </is>
      </c>
      <c r="L55" t="inlineStr">
        <is>
          <t>VINCI</t>
        </is>
      </c>
      <c r="M55" t="inlineStr">
        <is>
          <t>BG025907</t>
        </is>
      </c>
      <c r="N55" t="inlineStr">
        <is>
          <t>D</t>
        </is>
      </c>
      <c r="O55" t="n">
        <v>0</v>
      </c>
      <c r="P55" t="n">
        <v>1</v>
      </c>
    </row>
    <row r="56">
      <c r="A56" t="n">
        <v>738</v>
      </c>
      <c r="B56" t="inlineStr">
        <is>
          <t>CALLE 50 No. 531-E x 69 y 71, CENTRO, 97000 MÉRIDA, YUC.</t>
        </is>
      </c>
      <c r="C56" t="inlineStr">
        <is>
          <t>87. JORGE ALFREDO DAWN MEDINA</t>
        </is>
      </c>
      <c r="D56" t="inlineStr">
        <is>
          <t>DAMJ690611HYNWDR03</t>
        </is>
      </c>
      <c r="E56">
        <f>E64+1</f>
        <v/>
      </c>
      <c r="F56" t="inlineStr">
        <is>
          <t>CALLE 47-C S/N x 2-A y 4 COL. LEANDRO VALLE DE CHICHI DÍAZ, MÉRIDA, YUC. CP 97143</t>
        </is>
      </c>
      <c r="G56" t="inlineStr">
        <is>
          <t>9999005153</t>
        </is>
      </c>
      <c r="H56" t="inlineStr">
        <is>
          <t>jorgedawn@prodigy.net.mx</t>
        </is>
      </c>
      <c r="I56" t="inlineStr">
        <is>
          <t>RIFLE</t>
        </is>
      </c>
      <c r="J56" t="inlineStr">
        <is>
          <t>0.22"</t>
        </is>
      </c>
      <c r="K56" t="inlineStr">
        <is>
          <t>GLENFIELD</t>
        </is>
      </c>
      <c r="L56" t="inlineStr">
        <is>
          <t>22</t>
        </is>
      </c>
      <c r="M56" t="inlineStr">
        <is>
          <t>20763084</t>
        </is>
      </c>
      <c r="N56" t="inlineStr">
        <is>
          <t>A 3060919</t>
        </is>
      </c>
      <c r="O56" t="n">
        <v>0</v>
      </c>
      <c r="P56" t="n">
        <v>1</v>
      </c>
    </row>
    <row r="57">
      <c r="A57" t="n">
        <v>738</v>
      </c>
      <c r="B57" t="inlineStr">
        <is>
          <t>CALLE 50 No. 531-E x 69 y 71, CENTRO, 97000 MÉRIDA, YUC.</t>
        </is>
      </c>
      <c r="C57" t="inlineStr">
        <is>
          <t>87. JORGE ALFREDO DAWN MEDINA</t>
        </is>
      </c>
      <c r="D57" t="inlineStr">
        <is>
          <t>DAMJ690611HYNWDR03</t>
        </is>
      </c>
      <c r="E57">
        <f>E64+1</f>
        <v/>
      </c>
      <c r="F57" t="inlineStr">
        <is>
          <t>CALLE 47-C S/N x 2-A y 4 COL. LEANDRO VALLE DE CHICHI DÍAZ, MÉRIDA, YUC. CP 97143</t>
        </is>
      </c>
      <c r="G57" t="inlineStr">
        <is>
          <t>9999005153</t>
        </is>
      </c>
      <c r="H57" t="inlineStr">
        <is>
          <t>jorgedawn@prodigy.net.mx</t>
        </is>
      </c>
      <c r="I57" t="inlineStr">
        <is>
          <t>RIFLE</t>
        </is>
      </c>
      <c r="J57" t="inlineStr">
        <is>
          <t>0.243"</t>
        </is>
      </c>
      <c r="K57" t="inlineStr">
        <is>
          <t>REMINGTON</t>
        </is>
      </c>
      <c r="L57" t="inlineStr">
        <is>
          <t>700</t>
        </is>
      </c>
      <c r="M57" t="inlineStr">
        <is>
          <t>RR05700C</t>
        </is>
      </c>
      <c r="N57" t="inlineStr">
        <is>
          <t>B 439750</t>
        </is>
      </c>
      <c r="O57" t="n">
        <v>0</v>
      </c>
      <c r="P57" t="n">
        <v>1</v>
      </c>
    </row>
    <row r="58">
      <c r="A58" t="n">
        <v>738</v>
      </c>
      <c r="B58" t="inlineStr">
        <is>
          <t>CALLE 50 No. 531-E x 69 y 71, CENTRO, 97000 MÉRIDA, YUC.</t>
        </is>
      </c>
      <c r="C58" t="inlineStr">
        <is>
          <t>87. JORGE ALFREDO DAWN MEDINA</t>
        </is>
      </c>
      <c r="D58" t="inlineStr">
        <is>
          <t>DAMJ690611HYNWDR03</t>
        </is>
      </c>
      <c r="E58">
        <f>E64+1</f>
        <v/>
      </c>
      <c r="F58" t="inlineStr">
        <is>
          <t>CALLE 47-C S/N x 2-A y 4 COL. LEANDRO VALLE DE CHICHI DÍAZ, MÉRIDA, YUC. CP 97143</t>
        </is>
      </c>
      <c r="G58" t="inlineStr">
        <is>
          <t>9999005153</t>
        </is>
      </c>
      <c r="H58" t="inlineStr">
        <is>
          <t>jorgedawn@prodigy.net.mx</t>
        </is>
      </c>
      <c r="I58" t="inlineStr">
        <is>
          <t>ESCOPETA</t>
        </is>
      </c>
      <c r="J58" t="inlineStr">
        <is>
          <t>12 GA</t>
        </is>
      </c>
      <c r="K58" t="inlineStr">
        <is>
          <t>MOSSBERG</t>
        </is>
      </c>
      <c r="L58" t="inlineStr">
        <is>
          <t>500</t>
        </is>
      </c>
      <c r="M58" t="inlineStr">
        <is>
          <t>U899313</t>
        </is>
      </c>
      <c r="N58" t="inlineStr">
        <is>
          <t>A 3286632</t>
        </is>
      </c>
      <c r="O58" t="n">
        <v>0</v>
      </c>
      <c r="P58" t="n">
        <v>1</v>
      </c>
    </row>
    <row r="59">
      <c r="A59" t="n">
        <v>738</v>
      </c>
      <c r="B59" t="inlineStr">
        <is>
          <t>CALLE 50 No. 531-E x 69 y 71, CENTRO, 97000 MÉRIDA, YUC.</t>
        </is>
      </c>
      <c r="C59" t="inlineStr">
        <is>
          <t>87. JORGE ALFREDO DAWN MEDINA</t>
        </is>
      </c>
      <c r="D59" t="inlineStr">
        <is>
          <t>DAMJ690611HYNWDR03</t>
        </is>
      </c>
      <c r="E59">
        <f>E64+1</f>
        <v/>
      </c>
      <c r="F59" t="inlineStr">
        <is>
          <t>CALLE 47-C S/N x 2-A y 4 COL. LEANDRO VALLE DE CHICHI DÍAZ, MÉRIDA, YUC. CP 97143</t>
        </is>
      </c>
      <c r="G59" t="inlineStr">
        <is>
          <t>9999005153</t>
        </is>
      </c>
      <c r="H59" t="inlineStr">
        <is>
          <t>jorgedawn@prodigy.net.mx</t>
        </is>
      </c>
      <c r="I59" t="inlineStr">
        <is>
          <t>ESCOPETA</t>
        </is>
      </c>
      <c r="J59" t="inlineStr">
        <is>
          <t>12 GA</t>
        </is>
      </c>
      <c r="K59" t="inlineStr">
        <is>
          <t>BROWNING</t>
        </is>
      </c>
      <c r="L59" t="inlineStr">
        <is>
          <t>MAXUS</t>
        </is>
      </c>
      <c r="M59" t="inlineStr">
        <is>
          <t>115ZR07085</t>
        </is>
      </c>
      <c r="N59" t="inlineStr">
        <is>
          <t>B 40513</t>
        </is>
      </c>
      <c r="O59" t="n">
        <v>0</v>
      </c>
      <c r="P59" t="n">
        <v>1</v>
      </c>
    </row>
    <row r="60">
      <c r="A60" t="n">
        <v>738</v>
      </c>
      <c r="B60" t="inlineStr">
        <is>
          <t>CALLE 50 No. 531-E x 69 y 71, CENTRO, 97000 MÉRIDA, YUC.</t>
        </is>
      </c>
      <c r="C60" t="inlineStr">
        <is>
          <t>87. JORGE ALFREDO DAWN MEDINA</t>
        </is>
      </c>
      <c r="D60" t="inlineStr">
        <is>
          <t>DAMJ690611HYNWDR03</t>
        </is>
      </c>
      <c r="E60">
        <f>E64+1</f>
        <v/>
      </c>
      <c r="F60" t="inlineStr">
        <is>
          <t>CALLE 47-C S/N x 2-A y 4 COL. LEANDRO VALLE DE CHICHI DÍAZ, MÉRIDA, YUC. CP 97143</t>
        </is>
      </c>
      <c r="G60" t="inlineStr">
        <is>
          <t>9999005153</t>
        </is>
      </c>
      <c r="H60" t="inlineStr">
        <is>
          <t>jorgedawn@prodigy.net.mx</t>
        </is>
      </c>
      <c r="I60" t="inlineStr">
        <is>
          <t>PISTOLA</t>
        </is>
      </c>
      <c r="J60" t="inlineStr">
        <is>
          <t>.380" ACP</t>
        </is>
      </c>
      <c r="K60" t="inlineStr">
        <is>
          <t>TANFOGLIO</t>
        </is>
      </c>
      <c r="L60" t="inlineStr">
        <is>
          <t>FT 9 FS SPORT</t>
        </is>
      </c>
      <c r="M60" t="inlineStr">
        <is>
          <t>AA23335</t>
        </is>
      </c>
      <c r="N60" t="inlineStr">
        <is>
          <t>F 266799</t>
        </is>
      </c>
      <c r="O60" t="n">
        <v>1</v>
      </c>
      <c r="P60" t="n">
        <v>0</v>
      </c>
    </row>
    <row r="61">
      <c r="A61" t="n">
        <v>738</v>
      </c>
      <c r="B61" t="inlineStr">
        <is>
          <t>CALLE 50 No. 531-E x 69 y 71, CENTRO, 97000 MÉRIDA, YUC.</t>
        </is>
      </c>
      <c r="C61" t="inlineStr">
        <is>
          <t>88. SERGIO SANTINELLI GRAJALES</t>
        </is>
      </c>
      <c r="D61" t="inlineStr">
        <is>
          <t>SAGS611114HDFNRR05</t>
        </is>
      </c>
      <c r="E61">
        <f>E69+1</f>
        <v/>
      </c>
      <c r="F61" t="inlineStr">
        <is>
          <t>CALLE KANHA No. 85, YUCATÁN COUNTRY CLUB, MÉRIDA, YUC. C.P. 97308</t>
        </is>
      </c>
      <c r="G61" t="n">
        <v>5554388308</v>
      </c>
      <c r="H61" t="inlineStr">
        <is>
          <t>ssg@santinelli.com.mx</t>
        </is>
      </c>
      <c r="I61" t="inlineStr">
        <is>
          <t>RIFLE</t>
        </is>
      </c>
      <c r="J61" t="inlineStr">
        <is>
          <t>.22" L.R.</t>
        </is>
      </c>
      <c r="K61" t="inlineStr">
        <is>
          <t>WINCHESTER</t>
        </is>
      </c>
      <c r="L61" t="inlineStr">
        <is>
          <t>63</t>
        </is>
      </c>
      <c r="M61" t="inlineStr">
        <is>
          <t>149114A</t>
        </is>
      </c>
      <c r="N61" t="inlineStr">
        <is>
          <t>A 3422747</t>
        </is>
      </c>
      <c r="O61" t="n">
        <v>0</v>
      </c>
      <c r="P61" t="n">
        <v>1</v>
      </c>
    </row>
    <row r="62">
      <c r="A62" t="n">
        <v>738</v>
      </c>
      <c r="B62" t="inlineStr">
        <is>
          <t>CALLE 50 No. 531-E x 69 y 71, CENTRO, 97000 MÉRIDA, YUC.</t>
        </is>
      </c>
      <c r="C62" t="inlineStr">
        <is>
          <t>88. SERGIO SANTINELLI GRAJALES</t>
        </is>
      </c>
      <c r="D62" t="inlineStr">
        <is>
          <t>SAGS611114HDFNRR05</t>
        </is>
      </c>
      <c r="E62">
        <f>E69+1</f>
        <v/>
      </c>
      <c r="F62" t="inlineStr">
        <is>
          <t>CALLE KANHA No. 85, YUCATÁN COUNTRY CLUB, MÉRIDA, YUC. C.P. 97308</t>
        </is>
      </c>
      <c r="G62" t="n">
        <v>5554388308</v>
      </c>
      <c r="H62" t="inlineStr">
        <is>
          <t>ssg@santinelli.com.mx</t>
        </is>
      </c>
      <c r="I62" t="inlineStr">
        <is>
          <t>RIFLE</t>
        </is>
      </c>
      <c r="J62" t="inlineStr">
        <is>
          <t>.22" L.R.</t>
        </is>
      </c>
      <c r="K62" t="inlineStr">
        <is>
          <t>WINCHESTER</t>
        </is>
      </c>
      <c r="L62" t="inlineStr">
        <is>
          <t>47</t>
        </is>
      </c>
      <c r="M62" t="inlineStr">
        <is>
          <t>700</t>
        </is>
      </c>
      <c r="N62" t="inlineStr">
        <is>
          <t>A 3422746</t>
        </is>
      </c>
      <c r="O62" t="n">
        <v>0</v>
      </c>
      <c r="P62" t="n">
        <v>1</v>
      </c>
    </row>
    <row r="63">
      <c r="A63" t="n">
        <v>738</v>
      </c>
      <c r="B63" t="inlineStr">
        <is>
          <t>CALLE 50 No. 531-E x 69 y 71, CENTRO, 97000 MÉRIDA, YUC.</t>
        </is>
      </c>
      <c r="C63" t="inlineStr">
        <is>
          <t>88. SERGIO SANTINELLI GRAJALES</t>
        </is>
      </c>
      <c r="D63" t="inlineStr">
        <is>
          <t>SAGS611114HDFNRR05</t>
        </is>
      </c>
      <c r="E63">
        <f>E69+1</f>
        <v/>
      </c>
      <c r="F63" t="inlineStr">
        <is>
          <t>CALLE KANHA No. 85, YUCATÁN COUNTRY CLUB, MÉRIDA, YUC. C.P. 97308</t>
        </is>
      </c>
      <c r="G63" t="n">
        <v>5554388308</v>
      </c>
      <c r="H63" t="inlineStr">
        <is>
          <t>ssg@santinelli.com.mx</t>
        </is>
      </c>
      <c r="I63" t="inlineStr">
        <is>
          <t>REVOLVER</t>
        </is>
      </c>
      <c r="J63" t="inlineStr">
        <is>
          <t>.22" L.R.</t>
        </is>
      </c>
      <c r="K63" t="inlineStr">
        <is>
          <t>SMITH &amp; WESSON</t>
        </is>
      </c>
      <c r="L63" t="inlineStr">
        <is>
          <t>44618</t>
        </is>
      </c>
      <c r="M63" t="inlineStr">
        <is>
          <t>K114603</t>
        </is>
      </c>
      <c r="N63" t="inlineStr">
        <is>
          <t>A 3422751</t>
        </is>
      </c>
      <c r="O63" t="n">
        <v>1</v>
      </c>
      <c r="P63" t="n">
        <v>0</v>
      </c>
    </row>
    <row r="64">
      <c r="A64" t="n">
        <v>738</v>
      </c>
      <c r="B64" t="inlineStr">
        <is>
          <t>CALLE 50 No. 531-E x 69 y 71, CENTRO, 97000 MÉRIDA, YUC.</t>
        </is>
      </c>
      <c r="C64" t="inlineStr">
        <is>
          <t>88. SERGIO SANTINELLI GRAJALES</t>
        </is>
      </c>
      <c r="D64" t="inlineStr">
        <is>
          <t>SAGS611114HDFNRR05</t>
        </is>
      </c>
      <c r="E64">
        <f>E69+1</f>
        <v/>
      </c>
      <c r="F64" t="inlineStr">
        <is>
          <t>CALLE KANHA No. 85, YUCATÁN COUNTRY CLUB, MÉRIDA, YUC. C.P. 97308</t>
        </is>
      </c>
      <c r="G64" t="n">
        <v>5554388308</v>
      </c>
      <c r="H64" t="inlineStr">
        <is>
          <t>ssg@santinelli.com.mx</t>
        </is>
      </c>
      <c r="I64" t="inlineStr">
        <is>
          <t>REVOLVER</t>
        </is>
      </c>
      <c r="J64" t="inlineStr">
        <is>
          <t>.22" L.R.</t>
        </is>
      </c>
      <c r="K64" t="inlineStr">
        <is>
          <t>SMITH &amp; WESSON</t>
        </is>
      </c>
      <c r="L64" t="inlineStr">
        <is>
          <t>34-1</t>
        </is>
      </c>
      <c r="M64" t="inlineStr">
        <is>
          <t>92995</t>
        </is>
      </c>
      <c r="N64" t="inlineStr">
        <is>
          <t>A 3422752</t>
        </is>
      </c>
      <c r="O64" t="n">
        <v>1</v>
      </c>
      <c r="P64" t="n">
        <v>0</v>
      </c>
    </row>
    <row r="65">
      <c r="A65" t="n">
        <v>738</v>
      </c>
      <c r="B65" t="inlineStr">
        <is>
          <t>CALLE 50 No. 531-E x 69 y 71, CENTRO, 97000 MÉRIDA, YUC.</t>
        </is>
      </c>
      <c r="C65" t="inlineStr">
        <is>
          <t>88. SERGIO SANTINELLI GRAJALES</t>
        </is>
      </c>
      <c r="D65" t="inlineStr">
        <is>
          <t>SAGS611114HDFNRR05</t>
        </is>
      </c>
      <c r="E65">
        <f>E69+1</f>
        <v/>
      </c>
      <c r="F65" t="inlineStr">
        <is>
          <t>CALLE KANHA No. 85, YUCATÁN COUNTRY CLUB, MÉRIDA, YUC. C.P. 97308</t>
        </is>
      </c>
      <c r="G65" t="n">
        <v>5554388308</v>
      </c>
      <c r="H65" t="inlineStr">
        <is>
          <t>ssg@santinelli.com.mx</t>
        </is>
      </c>
      <c r="I65" t="inlineStr">
        <is>
          <t>REVOLVER</t>
        </is>
      </c>
      <c r="J65" t="inlineStr">
        <is>
          <t>.38" SPL.</t>
        </is>
      </c>
      <c r="K65" t="inlineStr">
        <is>
          <t>SMITH &amp; WESSON</t>
        </is>
      </c>
      <c r="L65" t="inlineStr">
        <is>
          <t>SIN</t>
        </is>
      </c>
      <c r="M65" t="inlineStr">
        <is>
          <t>K 94403</t>
        </is>
      </c>
      <c r="N65" t="inlineStr">
        <is>
          <t>A 3422750</t>
        </is>
      </c>
      <c r="O65" t="n">
        <v>1</v>
      </c>
      <c r="P65" t="n">
        <v>0</v>
      </c>
    </row>
    <row r="66">
      <c r="A66" t="n">
        <v>738</v>
      </c>
      <c r="B66" t="inlineStr">
        <is>
          <t>CALLE 50 No. 531-E x 69 y 71, CENTRO, 97000 MÉRIDA, YUC.</t>
        </is>
      </c>
      <c r="C66" t="inlineStr">
        <is>
          <t>88. SERGIO SANTINELLI GRAJALES</t>
        </is>
      </c>
      <c r="D66" t="inlineStr">
        <is>
          <t>SAGS611114HDFNRR05</t>
        </is>
      </c>
      <c r="E66">
        <f>E69+1</f>
        <v/>
      </c>
      <c r="F66" t="inlineStr">
        <is>
          <t>CALLE KANHA No. 85, YUCATÁN COUNTRY CLUB, MÉRIDA, YUC. C.P. 97308</t>
        </is>
      </c>
      <c r="G66" t="n">
        <v>5554388308</v>
      </c>
      <c r="H66" t="inlineStr">
        <is>
          <t>ssg@santinelli.com.mx</t>
        </is>
      </c>
      <c r="I66" t="inlineStr">
        <is>
          <t>PISTOLA</t>
        </is>
      </c>
      <c r="J66" t="inlineStr">
        <is>
          <t>.380" (9mm CORTO)</t>
        </is>
      </c>
      <c r="K66" t="inlineStr">
        <is>
          <t>WALTHER</t>
        </is>
      </c>
      <c r="L66" t="inlineStr">
        <is>
          <t>PPK/S</t>
        </is>
      </c>
      <c r="M66" t="inlineStr">
        <is>
          <t>S099225</t>
        </is>
      </c>
      <c r="N66" t="inlineStr">
        <is>
          <t>A 3422755</t>
        </is>
      </c>
      <c r="O66" t="n">
        <v>1</v>
      </c>
      <c r="P66" t="n">
        <v>0</v>
      </c>
    </row>
    <row r="67">
      <c r="A67" t="n">
        <v>738</v>
      </c>
      <c r="B67" t="inlineStr">
        <is>
          <t>CALLE 50 No. 531-E x 69 y 71, CENTRO, 97000 MÉRIDA, YUC.</t>
        </is>
      </c>
      <c r="C67" t="inlineStr">
        <is>
          <t>88. SERGIO SANTINELLI GRAJALES</t>
        </is>
      </c>
      <c r="D67" t="inlineStr">
        <is>
          <t>SAGS611114HDFNRR05</t>
        </is>
      </c>
      <c r="E67">
        <f>E69+1</f>
        <v/>
      </c>
      <c r="F67" t="inlineStr">
        <is>
          <t>CALLE KANHA No. 85, YUCATÁN COUNTRY CLUB, MÉRIDA, YUC. C.P. 97308</t>
        </is>
      </c>
      <c r="G67" t="n">
        <v>5554388308</v>
      </c>
      <c r="H67" t="inlineStr">
        <is>
          <t>ssg@santinelli.com.mx</t>
        </is>
      </c>
      <c r="I67" t="inlineStr">
        <is>
          <t>PISTOLA</t>
        </is>
      </c>
      <c r="J67" t="inlineStr">
        <is>
          <t>.25"</t>
        </is>
      </c>
      <c r="K67" t="inlineStr">
        <is>
          <t>BERETTA</t>
        </is>
      </c>
      <c r="L67" t="inlineStr">
        <is>
          <t>950 B</t>
        </is>
      </c>
      <c r="M67" t="inlineStr">
        <is>
          <t>B63320</t>
        </is>
      </c>
      <c r="N67" t="inlineStr">
        <is>
          <t>A 3422748</t>
        </is>
      </c>
      <c r="O67" t="n">
        <v>1</v>
      </c>
      <c r="P67" t="n">
        <v>0</v>
      </c>
    </row>
    <row r="68">
      <c r="A68" t="n">
        <v>738</v>
      </c>
      <c r="B68" t="inlineStr">
        <is>
          <t>CALLE 50 No. 531-E x 69 y 71, CENTRO, 97000 MÉRIDA, YUC.</t>
        </is>
      </c>
      <c r="C68" t="inlineStr">
        <is>
          <t>88. SERGIO SANTINELLI GRAJALES</t>
        </is>
      </c>
      <c r="D68" t="inlineStr">
        <is>
          <t>SAGS611114HDFNRR05</t>
        </is>
      </c>
      <c r="E68">
        <f>E69+1</f>
        <v/>
      </c>
      <c r="F68" t="inlineStr">
        <is>
          <t>CALLE KANHA No. 85, YUCATÁN COUNTRY CLUB, MÉRIDA, YUC. C.P. 97308</t>
        </is>
      </c>
      <c r="G68" t="n">
        <v>5554388308</v>
      </c>
      <c r="H68" t="inlineStr">
        <is>
          <t>ssg@santinelli.com.mx</t>
        </is>
      </c>
      <c r="I68" t="inlineStr">
        <is>
          <t>RIFLE</t>
        </is>
      </c>
      <c r="J68" t="inlineStr">
        <is>
          <t>.308"</t>
        </is>
      </c>
      <c r="K68" t="inlineStr">
        <is>
          <t>ANSCHUTZ</t>
        </is>
      </c>
      <c r="L68" t="inlineStr">
        <is>
          <t>110</t>
        </is>
      </c>
      <c r="M68" t="inlineStr">
        <is>
          <t>67995</t>
        </is>
      </c>
      <c r="N68" t="inlineStr">
        <is>
          <t>A 3422745</t>
        </is>
      </c>
      <c r="O68" t="n">
        <v>0</v>
      </c>
      <c r="P68" t="n">
        <v>1</v>
      </c>
    </row>
    <row r="69">
      <c r="A69" t="n">
        <v>738</v>
      </c>
      <c r="B69" t="inlineStr">
        <is>
          <t>CALLE 50 No. 531-E x 69 y 71, CENTRO, 97000 MÉRIDA, YUC.</t>
        </is>
      </c>
      <c r="C69" t="inlineStr">
        <is>
          <t>97. CLAUDIO MAURICIO CANAVATI FARAH</t>
        </is>
      </c>
      <c r="D69" t="inlineStr">
        <is>
          <t>CAFC660725HDFNRL03</t>
        </is>
      </c>
      <c r="E69">
        <f>E76+1</f>
        <v/>
      </c>
      <c r="F69" t="inlineStr">
        <is>
          <t>PASEO DE LOS AHUEHUETES No. 874, B NÍSPEROS Y B CASTAÑOS, BOSQUES DE LAS LOMAS, MIGUEL HIDALGO, MÉXICO, D.F. CP 05120</t>
        </is>
      </c>
      <c r="G69" t="inlineStr">
        <is>
          <t>5554536965</t>
        </is>
      </c>
      <c r="H69" t="inlineStr">
        <is>
          <t>cc@secure.mx</t>
        </is>
      </c>
      <c r="I69" t="inlineStr">
        <is>
          <t>RIFLE</t>
        </is>
      </c>
      <c r="J69" t="inlineStr">
        <is>
          <t>308 WIN</t>
        </is>
      </c>
      <c r="K69" t="inlineStr">
        <is>
          <t>BROWNING</t>
        </is>
      </c>
      <c r="L69" t="inlineStr">
        <is>
          <t>X-BOLT</t>
        </is>
      </c>
      <c r="M69" t="inlineStr">
        <is>
          <t>52761ZZ354</t>
        </is>
      </c>
      <c r="N69" t="inlineStr">
        <is>
          <t>A 3392280</t>
        </is>
      </c>
      <c r="O69" t="n">
        <v>0</v>
      </c>
      <c r="P69" t="n">
        <v>1</v>
      </c>
    </row>
    <row r="70">
      <c r="A70" t="n">
        <v>738</v>
      </c>
      <c r="B70" t="inlineStr">
        <is>
          <t>CALLE 50 No. 531-E x 69 y 71, CENTRO, 97000 MÉRIDA, YUC.</t>
        </is>
      </c>
      <c r="C70" t="inlineStr">
        <is>
          <t>97. CLAUDIO MAURICIO CANAVATI FARAH</t>
        </is>
      </c>
      <c r="D70" t="inlineStr">
        <is>
          <t>CAFC660725HDFNRL03</t>
        </is>
      </c>
      <c r="E70">
        <f>E76+1</f>
        <v/>
      </c>
      <c r="F70" t="inlineStr">
        <is>
          <t>PASEO DE LOS AHUEHUETES No. 874, B NÍSPEROS Y B CASTAÑOS, BOSQUES DE LAS LOMAS, MIGUEL HIDALGO, MÉXICO, D.F. CP 05120</t>
        </is>
      </c>
      <c r="G70" t="inlineStr">
        <is>
          <t>5554536965</t>
        </is>
      </c>
      <c r="H70" t="inlineStr">
        <is>
          <t>cc@secure.mx</t>
        </is>
      </c>
      <c r="I70" t="inlineStr">
        <is>
          <t>RIFLE</t>
        </is>
      </c>
      <c r="J70" t="inlineStr">
        <is>
          <t>0.22" L.R.</t>
        </is>
      </c>
      <c r="K70" t="inlineStr">
        <is>
          <t>ISSC</t>
        </is>
      </c>
      <c r="L70" t="inlineStr">
        <is>
          <t>MK22</t>
        </is>
      </c>
      <c r="M70" t="inlineStr">
        <is>
          <t>A393550</t>
        </is>
      </c>
      <c r="N70" t="inlineStr">
        <is>
          <t>A 3392282</t>
        </is>
      </c>
      <c r="O70" t="n">
        <v>0</v>
      </c>
      <c r="P70" t="n">
        <v>1</v>
      </c>
    </row>
    <row r="71">
      <c r="A71" t="n">
        <v>738</v>
      </c>
      <c r="B71" t="inlineStr">
        <is>
          <t>CALLE 50 No. 531-E x 69 y 71, CENTRO, 97000 MÉRIDA, YUC.</t>
        </is>
      </c>
      <c r="C71" t="inlineStr">
        <is>
          <t>97. CLAUDIO MAURICIO CANAVATI FARAH</t>
        </is>
      </c>
      <c r="D71" t="inlineStr">
        <is>
          <t>CAFC660725HDFNRL03</t>
        </is>
      </c>
      <c r="E71">
        <f>E76+1</f>
        <v/>
      </c>
      <c r="F71" t="inlineStr">
        <is>
          <t>PASEO DE LOS AHUEHUETES No. 874, B NÍSPEROS Y B CASTAÑOS, BOSQUES DE LAS LOMAS, MIGUEL HIDALGO, MÉXICO, D.F. CP 05120</t>
        </is>
      </c>
      <c r="G71" t="inlineStr">
        <is>
          <t>5554536965</t>
        </is>
      </c>
      <c r="H71" t="inlineStr">
        <is>
          <t>cc@secure.mx</t>
        </is>
      </c>
      <c r="I71" t="inlineStr">
        <is>
          <t>RIFLE</t>
        </is>
      </c>
      <c r="J71" t="inlineStr">
        <is>
          <t>30 - 06</t>
        </is>
      </c>
      <c r="K71" t="inlineStr">
        <is>
          <t>BROWNING</t>
        </is>
      </c>
      <c r="L71" t="inlineStr">
        <is>
          <t>X-BOLT</t>
        </is>
      </c>
      <c r="M71" t="inlineStr">
        <is>
          <t>52729ZZ354</t>
        </is>
      </c>
      <c r="N71" t="inlineStr">
        <is>
          <t>A 3392281</t>
        </is>
      </c>
      <c r="O71" t="n">
        <v>0</v>
      </c>
      <c r="P71" t="n">
        <v>1</v>
      </c>
    </row>
    <row r="72">
      <c r="A72" t="n">
        <v>738</v>
      </c>
      <c r="B72" t="inlineStr">
        <is>
          <t>CALLE 50 No. 531-E x 69 y 71, CENTRO, 97000 MÉRIDA, YUC.</t>
        </is>
      </c>
      <c r="C72" t="inlineStr">
        <is>
          <t>97. CLAUDIO MAURICIO CANAVATI FARAH</t>
        </is>
      </c>
      <c r="D72" t="inlineStr">
        <is>
          <t>CAFC660725HDFNRL03</t>
        </is>
      </c>
      <c r="E72">
        <f>E76+1</f>
        <v/>
      </c>
      <c r="F72" t="inlineStr">
        <is>
          <t>PASEO DE LOS AHUEHUETES No. 874, B NÍSPEROS Y B CASTAÑOS, BOSQUES DE LAS LOMAS, MIGUEL HIDALGO, MÉXICO, D.F. CP 05120</t>
        </is>
      </c>
      <c r="G72" t="inlineStr">
        <is>
          <t>5554536965</t>
        </is>
      </c>
      <c r="H72" t="inlineStr">
        <is>
          <t>cc@secure.mx</t>
        </is>
      </c>
      <c r="I72" t="inlineStr">
        <is>
          <t>RIFLE</t>
        </is>
      </c>
      <c r="J72" t="inlineStr">
        <is>
          <t>300 WIN MAG.</t>
        </is>
      </c>
      <c r="K72" t="inlineStr">
        <is>
          <t>BROWNING</t>
        </is>
      </c>
      <c r="L72" t="inlineStr">
        <is>
          <t>SAFARI</t>
        </is>
      </c>
      <c r="M72" t="inlineStr">
        <is>
          <t>311ZY02998</t>
        </is>
      </c>
      <c r="N72" t="inlineStr">
        <is>
          <t>A 3392283</t>
        </is>
      </c>
      <c r="O72" t="n">
        <v>0</v>
      </c>
      <c r="P72" t="n">
        <v>1</v>
      </c>
    </row>
    <row r="73">
      <c r="A73" t="n">
        <v>738</v>
      </c>
      <c r="B73" t="inlineStr">
        <is>
          <t>CALLE 50 No. 531-E x 69 y 71, CENTRO, 97000 MÉRIDA, YUC.</t>
        </is>
      </c>
      <c r="C73" t="inlineStr">
        <is>
          <t>97. CLAUDIO MAURICIO CANAVATI FARAH</t>
        </is>
      </c>
      <c r="D73" t="inlineStr">
        <is>
          <t>CAFC660725HDFNRL03</t>
        </is>
      </c>
      <c r="E73">
        <f>E76+1</f>
        <v/>
      </c>
      <c r="F73" t="inlineStr">
        <is>
          <t>PASEO DE LOS AHUEHUETES No. 874, B NÍSPEROS Y B CASTAÑOS, BOSQUES DE LAS LOMAS, MIGUEL HIDALGO, MÉXICO, D.F. CP 05120</t>
        </is>
      </c>
      <c r="G73" t="inlineStr">
        <is>
          <t>5554536965</t>
        </is>
      </c>
      <c r="H73" t="inlineStr">
        <is>
          <t>cc@secure.mx</t>
        </is>
      </c>
      <c r="I73" t="inlineStr">
        <is>
          <t>RIFLE</t>
        </is>
      </c>
      <c r="J73" t="inlineStr">
        <is>
          <t>7 MM</t>
        </is>
      </c>
      <c r="K73" t="inlineStr">
        <is>
          <t>REMINGTON</t>
        </is>
      </c>
      <c r="L73" t="inlineStr">
        <is>
          <t>700</t>
        </is>
      </c>
      <c r="M73" t="inlineStr">
        <is>
          <t>E6527940</t>
        </is>
      </c>
      <c r="N73" t="inlineStr">
        <is>
          <t>A 3392284</t>
        </is>
      </c>
      <c r="O73" t="n">
        <v>0</v>
      </c>
      <c r="P73" t="n">
        <v>1</v>
      </c>
    </row>
    <row r="74">
      <c r="A74" t="n">
        <v>738</v>
      </c>
      <c r="B74" t="inlineStr">
        <is>
          <t>CALLE 50 No. 531-E x 69 y 71, CENTRO, 97000 MÉRIDA, YUC.</t>
        </is>
      </c>
      <c r="C74" t="inlineStr">
        <is>
          <t>97. CLAUDIO MAURICIO CANAVATI FARAH</t>
        </is>
      </c>
      <c r="D74" t="inlineStr">
        <is>
          <t>CAFC660725HDFNRL03</t>
        </is>
      </c>
      <c r="E74">
        <f>E76+1</f>
        <v/>
      </c>
      <c r="F74" t="inlineStr">
        <is>
          <t>PASEO DE LOS AHUEHUETES No. 874, B NÍSPEROS Y B CASTAÑOS, BOSQUES DE LAS LOMAS, MIGUEL HIDALGO, MÉXICO, D.F. CP 05120</t>
        </is>
      </c>
      <c r="G74" t="inlineStr">
        <is>
          <t>5554536965</t>
        </is>
      </c>
      <c r="H74" t="inlineStr">
        <is>
          <t>cc@secure.mx</t>
        </is>
      </c>
      <c r="I74" t="inlineStr">
        <is>
          <t>ESCOPETA</t>
        </is>
      </c>
      <c r="J74" t="inlineStr">
        <is>
          <t>12 GA</t>
        </is>
      </c>
      <c r="K74" t="inlineStr">
        <is>
          <t>BENELLI</t>
        </is>
      </c>
      <c r="L74" t="inlineStr">
        <is>
          <t>VINCI</t>
        </is>
      </c>
      <c r="M74" t="inlineStr">
        <is>
          <t>BG051371D</t>
        </is>
      </c>
      <c r="N74" t="inlineStr">
        <is>
          <t>A 3392279</t>
        </is>
      </c>
      <c r="O74" t="n">
        <v>0</v>
      </c>
      <c r="P74" t="n">
        <v>1</v>
      </c>
    </row>
    <row r="75">
      <c r="A75" t="n">
        <v>738</v>
      </c>
      <c r="B75" t="inlineStr">
        <is>
          <t>CALLE 50 No. 531-E x 69 y 71, CENTRO, 97000 MÉRIDA, YUC.</t>
        </is>
      </c>
      <c r="C75" t="inlineStr">
        <is>
          <t>97. CLAUDIO MAURICIO CANAVATI FARAH</t>
        </is>
      </c>
      <c r="D75" t="inlineStr">
        <is>
          <t>CAFC660725HDFNRL03</t>
        </is>
      </c>
      <c r="E75">
        <f>E76+1</f>
        <v/>
      </c>
      <c r="F75" t="inlineStr">
        <is>
          <t>PASEO DE LOS AHUEHUETES No. 874, B NÍSPEROS Y B CASTAÑOS, BOSQUES DE LAS LOMAS, MIGUEL HIDALGO, MÉXICO, D.F. CP 05120</t>
        </is>
      </c>
      <c r="G75" t="inlineStr">
        <is>
          <t>5554536965</t>
        </is>
      </c>
      <c r="H75" t="inlineStr">
        <is>
          <t>cc@secure.mx</t>
        </is>
      </c>
      <c r="I75" t="inlineStr">
        <is>
          <t>RIFLE</t>
        </is>
      </c>
      <c r="J75" t="inlineStr">
        <is>
          <t>0.223" REM</t>
        </is>
      </c>
      <c r="K75" t="inlineStr">
        <is>
          <t>CESKA ZBROJOVKA</t>
        </is>
      </c>
      <c r="L75" t="inlineStr">
        <is>
          <t>CZ 527 AMERICAN</t>
        </is>
      </c>
      <c r="M75" t="inlineStr">
        <is>
          <t>A801895</t>
        </is>
      </c>
      <c r="N75" t="inlineStr">
        <is>
          <t>A 3392278</t>
        </is>
      </c>
      <c r="O75" t="n">
        <v>0</v>
      </c>
      <c r="P75" t="n">
        <v>1</v>
      </c>
    </row>
    <row r="76">
      <c r="A76" t="n">
        <v>738</v>
      </c>
      <c r="B76" t="inlineStr">
        <is>
          <t>CALLE 50 No. 531-E x 69 y 71, CENTRO, 97000 MÉRIDA, YUC.</t>
        </is>
      </c>
      <c r="C76" t="inlineStr">
        <is>
          <t>97. CLAUDIO MAURICIO CANAVATI FARAH</t>
        </is>
      </c>
      <c r="D76" t="inlineStr">
        <is>
          <t>CAFC660725HDFNRL03</t>
        </is>
      </c>
      <c r="E76">
        <f>E76+1</f>
        <v/>
      </c>
      <c r="F76" t="inlineStr">
        <is>
          <t>PASEO DE LOS AHUEHUETES No. 874, B NÍSPEROS Y B CASTAÑOS, BOSQUES DE LAS LOMAS, MIGUEL HIDALGO, MÉXICO, D.F. CP 05120</t>
        </is>
      </c>
      <c r="G76" t="inlineStr">
        <is>
          <t>5554536965</t>
        </is>
      </c>
      <c r="H76" t="inlineStr">
        <is>
          <t>cc@secure.mx</t>
        </is>
      </c>
      <c r="I76" t="inlineStr">
        <is>
          <t>PISTOLA</t>
        </is>
      </c>
      <c r="J76" t="inlineStr">
        <is>
          <t>.22"</t>
        </is>
      </c>
      <c r="K76" t="inlineStr">
        <is>
          <t>ROCK ISLAND</t>
        </is>
      </c>
      <c r="L76" t="inlineStr">
        <is>
          <t>M1911 A2 FS-MM</t>
        </is>
      </c>
      <c r="M76" t="inlineStr">
        <is>
          <t>TCM03978</t>
        </is>
      </c>
      <c r="N76" t="inlineStr">
        <is>
          <t>A3469213</t>
        </is>
      </c>
      <c r="O76" t="n">
        <v>1</v>
      </c>
      <c r="P76" t="n">
        <v>0</v>
      </c>
    </row>
    <row r="77">
      <c r="A77" t="n">
        <v>738</v>
      </c>
      <c r="B77" t="inlineStr">
        <is>
          <t>CALLE 50 No. 531-E x 69 y 71, CENTRO, 97000 MÉRIDA, YUC.</t>
        </is>
      </c>
      <c r="C77" t="inlineStr">
        <is>
          <t>99. ALEJANDRO FRANCISCO RIVAS PINTADO</t>
        </is>
      </c>
      <c r="D77" t="inlineStr">
        <is>
          <t>RIPA800807HYNVNL07</t>
        </is>
      </c>
      <c r="E77">
        <f>E85+1</f>
        <v/>
      </c>
      <c r="F77" t="inlineStr">
        <is>
          <t>CALLE 42 No. 194-A x 35 y 37, CENTRO, VALLADOLID, YUC. CP 97780</t>
        </is>
      </c>
      <c r="G77" t="n">
        <v>9997720959</v>
      </c>
      <c r="H77" t="inlineStr">
        <is>
          <t>al3xrivas@gmail.com</t>
        </is>
      </c>
      <c r="I77" t="inlineStr">
        <is>
          <t>RIFLE</t>
        </is>
      </c>
      <c r="J77" t="inlineStr">
        <is>
          <t>0.223" REM</t>
        </is>
      </c>
      <c r="K77" t="inlineStr">
        <is>
          <t>BENELLI</t>
        </is>
      </c>
      <c r="L77" t="inlineStr">
        <is>
          <t>MR1</t>
        </is>
      </c>
      <c r="M77" t="inlineStr">
        <is>
          <t>BC008976Z</t>
        </is>
      </c>
      <c r="N77" t="inlineStr">
        <is>
          <t>A 3420732</t>
        </is>
      </c>
      <c r="O77" t="n">
        <v>0</v>
      </c>
      <c r="P77" t="n">
        <v>1</v>
      </c>
    </row>
    <row r="78">
      <c r="A78" t="n">
        <v>738</v>
      </c>
      <c r="B78" t="inlineStr">
        <is>
          <t>CALLE 50 No. 531-E x 69 y 71, CENTRO, 97000 MÉRIDA, YUC.</t>
        </is>
      </c>
      <c r="C78" t="inlineStr">
        <is>
          <t>99. ALEJANDRO FRANCISCO RIVAS PINTADO</t>
        </is>
      </c>
      <c r="D78" t="inlineStr">
        <is>
          <t>RIPA800807HYNVNL07</t>
        </is>
      </c>
      <c r="E78">
        <f>E85+1</f>
        <v/>
      </c>
      <c r="F78" t="inlineStr">
        <is>
          <t>CALLE 42 No. 194-A x 35 y 37, CENTRO, VALLADOLID, YUC. CP 97780</t>
        </is>
      </c>
      <c r="G78" t="n">
        <v>9997720959</v>
      </c>
      <c r="H78" t="inlineStr">
        <is>
          <t>al3xrivas@gmail.com</t>
        </is>
      </c>
      <c r="I78" t="inlineStr">
        <is>
          <t>PISTOLA</t>
        </is>
      </c>
      <c r="J78" t="inlineStr">
        <is>
          <t>.380" AUTO</t>
        </is>
      </c>
      <c r="K78" t="inlineStr">
        <is>
          <t>CESKA ZBROJOVKA</t>
        </is>
      </c>
      <c r="L78" t="inlineStr">
        <is>
          <t>CZ P07</t>
        </is>
      </c>
      <c r="M78" t="inlineStr">
        <is>
          <t>C126830</t>
        </is>
      </c>
      <c r="N78" t="inlineStr">
        <is>
          <t>B 540624</t>
        </is>
      </c>
      <c r="O78" t="n">
        <v>1</v>
      </c>
      <c r="P78" t="n">
        <v>0</v>
      </c>
    </row>
    <row r="79">
      <c r="A79" t="n">
        <v>738</v>
      </c>
      <c r="B79" t="inlineStr">
        <is>
          <t>CALLE 50 No. 531-E x 69 y 71, CENTRO, 97000 MÉRIDA, YUC.</t>
        </is>
      </c>
      <c r="C79" t="inlineStr">
        <is>
          <t>99. ALEJANDRO FRANCISCO RIVAS PINTADO</t>
        </is>
      </c>
      <c r="D79" t="inlineStr">
        <is>
          <t>RIPA800807HYNVNL07</t>
        </is>
      </c>
      <c r="E79">
        <f>E85+1</f>
        <v/>
      </c>
      <c r="F79" t="inlineStr">
        <is>
          <t>CALLE 42 No. 194-A x 35 y 37, CENTRO, VALLADOLID, YUC. CP 97780</t>
        </is>
      </c>
      <c r="G79" t="n">
        <v>9997720959</v>
      </c>
      <c r="H79" t="inlineStr">
        <is>
          <t>al3xrivas@gmail.com</t>
        </is>
      </c>
      <c r="I79" t="inlineStr">
        <is>
          <t>RIFLE</t>
        </is>
      </c>
      <c r="J79" t="inlineStr">
        <is>
          <t>30 - 06"</t>
        </is>
      </c>
      <c r="K79" t="inlineStr">
        <is>
          <t>STEYR</t>
        </is>
      </c>
      <c r="L79" t="inlineStr">
        <is>
          <t>SIN</t>
        </is>
      </c>
      <c r="M79" t="inlineStr">
        <is>
          <t>B 4217</t>
        </is>
      </c>
      <c r="N79" t="inlineStr">
        <is>
          <t>A 3061846</t>
        </is>
      </c>
      <c r="O79" t="n">
        <v>0</v>
      </c>
      <c r="P79" t="n">
        <v>1</v>
      </c>
    </row>
    <row r="80">
      <c r="A80" t="n">
        <v>738</v>
      </c>
      <c r="B80" t="inlineStr">
        <is>
          <t>CALLE 50 No. 531-E x 69 y 71, CENTRO, 97000 MÉRIDA, YUC.</t>
        </is>
      </c>
      <c r="C80" t="inlineStr">
        <is>
          <t>99. ALEJANDRO FRANCISCO RIVAS PINTADO</t>
        </is>
      </c>
      <c r="D80" t="inlineStr">
        <is>
          <t>RIPA800807HYNVNL07</t>
        </is>
      </c>
      <c r="E80">
        <f>E85+1</f>
        <v/>
      </c>
      <c r="F80" t="inlineStr">
        <is>
          <t>CALLE 42 No. 194-A x 35 y 37, CENTRO, VALLADOLID, YUC. CP 97780</t>
        </is>
      </c>
      <c r="G80" t="n">
        <v>9997720959</v>
      </c>
      <c r="H80" t="inlineStr">
        <is>
          <t>al3xrivas@gmail.com</t>
        </is>
      </c>
      <c r="I80" t="inlineStr">
        <is>
          <t>PISTOLA</t>
        </is>
      </c>
      <c r="J80" t="inlineStr">
        <is>
          <t>.380" AUTO</t>
        </is>
      </c>
      <c r="K80" t="inlineStr">
        <is>
          <t>SIG SAUER</t>
        </is>
      </c>
      <c r="L80" t="inlineStr">
        <is>
          <t>P365</t>
        </is>
      </c>
      <c r="M80" t="inlineStr">
        <is>
          <t>66FS277755</t>
        </is>
      </c>
      <c r="N80" t="inlineStr">
        <is>
          <t>B 540624</t>
        </is>
      </c>
      <c r="O80" t="n">
        <v>1</v>
      </c>
      <c r="P80" t="n">
        <v>0</v>
      </c>
    </row>
    <row r="81">
      <c r="A81" t="n">
        <v>738</v>
      </c>
      <c r="B81" t="inlineStr">
        <is>
          <t>CALLE 50 No. 531-E x 69 y 71, CENTRO, 97000 MÉRIDA, YUC.</t>
        </is>
      </c>
      <c r="C81" t="inlineStr">
        <is>
          <t>102. JOSE VICENTE TRUJILLO LUCIC</t>
        </is>
      </c>
      <c r="D81" t="inlineStr">
        <is>
          <t>TULV760925HYNRCC04</t>
        </is>
      </c>
      <c r="E81">
        <f>E94+1</f>
        <v/>
      </c>
      <c r="F81" t="inlineStr">
        <is>
          <t xml:space="preserve">CALLE 32 NÚM. 232 B x 37 y 45 DIAGONAL, COLONIA SANTA RITA CHOLUL CP 97130
</t>
        </is>
      </c>
      <c r="G81" t="inlineStr">
        <is>
          <t>9999600269</t>
        </is>
      </c>
      <c r="H81" t="inlineStr">
        <is>
          <t>jvtl@hotmail.com</t>
        </is>
      </c>
      <c r="I81" t="inlineStr">
        <is>
          <t>RIFLE</t>
        </is>
      </c>
      <c r="J81" t="inlineStr">
        <is>
          <t>0.22" L.R.</t>
        </is>
      </c>
      <c r="K81" t="inlineStr">
        <is>
          <t>COLT</t>
        </is>
      </c>
      <c r="L81" t="inlineStr">
        <is>
          <t>M4</t>
        </is>
      </c>
      <c r="M81" t="inlineStr">
        <is>
          <t>BP015743</t>
        </is>
      </c>
      <c r="N81" t="inlineStr">
        <is>
          <t>A 3286352</t>
        </is>
      </c>
      <c r="O81" t="n">
        <v>0</v>
      </c>
      <c r="P81" t="n">
        <v>1</v>
      </c>
    </row>
    <row r="82">
      <c r="A82" t="n">
        <v>738</v>
      </c>
      <c r="B82" t="inlineStr">
        <is>
          <t>CALLE 50 No. 531-E x 69 y 71, CENTRO, 97000 MÉRIDA, YUC.</t>
        </is>
      </c>
      <c r="C82" t="inlineStr">
        <is>
          <t>102. JOSE VICENTE TRUJILLO LUCIC</t>
        </is>
      </c>
      <c r="D82" t="inlineStr">
        <is>
          <t>TULV760925HYNRCC04</t>
        </is>
      </c>
      <c r="E82">
        <f>E94+1</f>
        <v/>
      </c>
      <c r="F82" t="inlineStr">
        <is>
          <t xml:space="preserve">CALLE 32 NÚM. 232 B x 37 y 45 DIAGONAL, COLONIA SANTA RITA CHOLUL CP 97130
</t>
        </is>
      </c>
      <c r="G82" t="inlineStr">
        <is>
          <t>9999600269</t>
        </is>
      </c>
      <c r="H82" t="inlineStr">
        <is>
          <t>jvtl@hotmail.com</t>
        </is>
      </c>
      <c r="I82" t="inlineStr">
        <is>
          <t>RIFLE</t>
        </is>
      </c>
      <c r="J82" t="inlineStr">
        <is>
          <t>0.223"</t>
        </is>
      </c>
      <c r="K82" t="inlineStr">
        <is>
          <t>BENELLI</t>
        </is>
      </c>
      <c r="L82" t="inlineStr">
        <is>
          <t>MR1</t>
        </is>
      </c>
      <c r="M82" t="inlineStr">
        <is>
          <t>BC008693N</t>
        </is>
      </c>
      <c r="N82" t="inlineStr">
        <is>
          <t>A 3286354</t>
        </is>
      </c>
      <c r="O82" t="n">
        <v>0</v>
      </c>
      <c r="P82" t="n">
        <v>1</v>
      </c>
    </row>
    <row r="83">
      <c r="A83" t="n">
        <v>738</v>
      </c>
      <c r="B83" t="inlineStr">
        <is>
          <t>CALLE 50 No. 531-E x 69 y 71, CENTRO, 97000 MÉRIDA, YUC.</t>
        </is>
      </c>
      <c r="C83" t="inlineStr">
        <is>
          <t>102. JOSE VICENTE TRUJILLO LUCIC</t>
        </is>
      </c>
      <c r="D83" t="inlineStr">
        <is>
          <t>TULV760925HYNRCC04</t>
        </is>
      </c>
      <c r="E83">
        <f>E94+1</f>
        <v/>
      </c>
      <c r="F83" t="inlineStr">
        <is>
          <t xml:space="preserve">CALLE 32 NÚM. 232 B x 37 y 45 DIAGONAL, COLONIA SANTA RITA CHOLUL CP 97130
</t>
        </is>
      </c>
      <c r="G83" t="inlineStr">
        <is>
          <t>9999600269</t>
        </is>
      </c>
      <c r="H83" t="inlineStr">
        <is>
          <t>jvtl@hotmail.com</t>
        </is>
      </c>
      <c r="I83" t="inlineStr">
        <is>
          <t>PISTOLA</t>
        </is>
      </c>
      <c r="J83" t="inlineStr">
        <is>
          <t>0.380"</t>
        </is>
      </c>
      <c r="K83" t="inlineStr">
        <is>
          <t>GLOCK</t>
        </is>
      </c>
      <c r="L83" t="inlineStr">
        <is>
          <t>25</t>
        </is>
      </c>
      <c r="M83" t="inlineStr">
        <is>
          <t>RBW348</t>
        </is>
      </c>
      <c r="N83" t="inlineStr">
        <is>
          <t>A 3286353</t>
        </is>
      </c>
      <c r="O83" t="n">
        <v>1</v>
      </c>
      <c r="P83" t="n">
        <v>0</v>
      </c>
    </row>
    <row r="84">
      <c r="A84" t="n">
        <v>738</v>
      </c>
      <c r="B84" t="inlineStr">
        <is>
          <t>CALLE 50 No. 531-E x 69 y 71, CENTRO, 97000 MÉRIDA, YUC.</t>
        </is>
      </c>
      <c r="C84" t="inlineStr">
        <is>
          <t>103. EDGAR EDILBERTO MONFORTE ESCOBEDO</t>
        </is>
      </c>
      <c r="D84" t="inlineStr">
        <is>
          <t>MOEE870627HYNNSD04</t>
        </is>
      </c>
      <c r="E84">
        <f>E99+1</f>
        <v/>
      </c>
      <c r="F84" t="inlineStr">
        <is>
          <t>CALLE 35 No. 331 x 18 y 20, COL. PEDREGALES DE TANLUM, MÉRIDA, YUC. CP 97210</t>
        </is>
      </c>
      <c r="G84" t="n">
        <v>9993349575</v>
      </c>
      <c r="H84" t="inlineStr">
        <is>
          <t>monfo87_@hotmail.com</t>
        </is>
      </c>
      <c r="I84" t="inlineStr">
        <is>
          <t>ESCOPETA</t>
        </is>
      </c>
      <c r="J84" t="inlineStr">
        <is>
          <t>20 GA</t>
        </is>
      </c>
      <c r="K84" t="inlineStr">
        <is>
          <t>ATA ARMS</t>
        </is>
      </c>
      <c r="L84" t="inlineStr">
        <is>
          <t>CY</t>
        </is>
      </c>
      <c r="M84" t="inlineStr">
        <is>
          <t>15/D51877</t>
        </is>
      </c>
      <c r="N84" t="inlineStr">
        <is>
          <t>A 3419293</t>
        </is>
      </c>
      <c r="O84" t="n">
        <v>0</v>
      </c>
      <c r="P84" t="n">
        <v>1</v>
      </c>
    </row>
    <row r="85">
      <c r="A85" t="n">
        <v>738</v>
      </c>
      <c r="B85" t="inlineStr">
        <is>
          <t>CALLE 50 No. 531-E x 69 y 71, CENTRO, 97000 MÉRIDA, YUC.</t>
        </is>
      </c>
      <c r="C85" t="inlineStr">
        <is>
          <t>103. EDGAR EDILBERTO MONFORTE ESCOBEDO</t>
        </is>
      </c>
      <c r="D85" t="inlineStr">
        <is>
          <t>MOEE870627HYNNSD04</t>
        </is>
      </c>
      <c r="E85">
        <f>E99+1</f>
        <v/>
      </c>
      <c r="F85" t="inlineStr">
        <is>
          <t>CALLE 35 No. 331 x 18 y 20, COL. PEDREGALES DE TANLUM, MÉRIDA, YUC. CP 97210</t>
        </is>
      </c>
      <c r="G85" t="n">
        <v>9993349575</v>
      </c>
      <c r="H85" t="inlineStr">
        <is>
          <t>monfo87_@hotmail.com</t>
        </is>
      </c>
      <c r="I85" t="inlineStr">
        <is>
          <t>ESCOPETA</t>
        </is>
      </c>
      <c r="J85" t="inlineStr">
        <is>
          <t>12</t>
        </is>
      </c>
      <c r="K85" t="inlineStr">
        <is>
          <t>MOSSBERG</t>
        </is>
      </c>
      <c r="L85" t="inlineStr">
        <is>
          <t>930</t>
        </is>
      </c>
      <c r="M85" t="inlineStr">
        <is>
          <t>AF042162</t>
        </is>
      </c>
      <c r="N85" t="inlineStr">
        <is>
          <t>B 317832</t>
        </is>
      </c>
      <c r="O85" t="n">
        <v>0</v>
      </c>
      <c r="P85" t="n">
        <v>1</v>
      </c>
    </row>
    <row r="86">
      <c r="A86" t="n">
        <v>738</v>
      </c>
      <c r="B86" t="inlineStr">
        <is>
          <t>CALLE 50 No. 531-E x 69 y 71, CENTRO, 97000 MÉRIDA, YUC.</t>
        </is>
      </c>
      <c r="C86" t="inlineStr">
        <is>
          <t>103. EDGAR EDILBERTO MONFORTE ESCOBEDO</t>
        </is>
      </c>
      <c r="D86" t="inlineStr">
        <is>
          <t>MOEE870627HYNNSD04</t>
        </is>
      </c>
      <c r="E86">
        <f>E99+1</f>
        <v/>
      </c>
      <c r="F86" t="inlineStr">
        <is>
          <t>CALLE 35 No. 331 x 18 y 20, COL. PEDREGALES DE TANLUM, MÉRIDA, YUC. CP 97210</t>
        </is>
      </c>
      <c r="G86" t="n">
        <v>9993349575</v>
      </c>
      <c r="H86" t="inlineStr">
        <is>
          <t>monfo87_@hotmail.com</t>
        </is>
      </c>
      <c r="I86" t="inlineStr">
        <is>
          <t>ESCOPETA</t>
        </is>
      </c>
      <c r="J86" t="inlineStr">
        <is>
          <t>12 G.A.</t>
        </is>
      </c>
      <c r="K86" t="inlineStr">
        <is>
          <t>BERETTA</t>
        </is>
      </c>
      <c r="L86" t="inlineStr">
        <is>
          <t>682 GOLD E</t>
        </is>
      </c>
      <c r="M86" t="inlineStr">
        <is>
          <t>U96686 B</t>
        </is>
      </c>
      <c r="N86" t="inlineStr">
        <is>
          <t>B 405118</t>
        </is>
      </c>
      <c r="O86" t="n">
        <v>0</v>
      </c>
      <c r="P86" t="n">
        <v>1</v>
      </c>
    </row>
    <row r="87">
      <c r="A87" t="n">
        <v>738</v>
      </c>
      <c r="B87" t="inlineStr">
        <is>
          <t>CALLE 50 No. 531-E x 69 y 71, CENTRO, 97000 MÉRIDA, YUC.</t>
        </is>
      </c>
      <c r="C87" t="inlineStr">
        <is>
          <t>103. EDGAR EDILBERTO MONFORTE ESCOBEDO</t>
        </is>
      </c>
      <c r="D87" t="inlineStr">
        <is>
          <t>MOEE870627HYNNSD04</t>
        </is>
      </c>
      <c r="E87">
        <f>E99+1</f>
        <v/>
      </c>
      <c r="F87" t="inlineStr">
        <is>
          <t>CALLE 35 No. 331 x 18 y 20, COL. PEDREGALES DE TANLUM, MÉRIDA, YUC. CP 97210</t>
        </is>
      </c>
      <c r="G87" t="n">
        <v>9993349575</v>
      </c>
      <c r="H87" t="inlineStr">
        <is>
          <t>monfo87_@hotmail.com</t>
        </is>
      </c>
      <c r="I87" t="inlineStr">
        <is>
          <t>ESCOPETA</t>
        </is>
      </c>
      <c r="J87" t="inlineStr">
        <is>
          <t>12 GA</t>
        </is>
      </c>
      <c r="K87" t="inlineStr">
        <is>
          <t>BERETTA</t>
        </is>
      </c>
      <c r="L87" t="inlineStr">
        <is>
          <t>692 SPORTING</t>
        </is>
      </c>
      <c r="M87" t="inlineStr">
        <is>
          <t>SX22338A</t>
        </is>
      </c>
      <c r="N87" t="inlineStr">
        <is>
          <t>B 404590</t>
        </is>
      </c>
      <c r="O87" t="n">
        <v>0</v>
      </c>
      <c r="P87" t="n">
        <v>1</v>
      </c>
    </row>
    <row r="88">
      <c r="A88" t="n">
        <v>738</v>
      </c>
      <c r="B88" t="inlineStr">
        <is>
          <t>CALLE 50 No. 531-E x 69 y 71, CENTRO, 97000 MÉRIDA, YUC.</t>
        </is>
      </c>
      <c r="C88" t="inlineStr">
        <is>
          <t>103. EDGAR EDILBERTO MONFORTE ESCOBEDO</t>
        </is>
      </c>
      <c r="D88" t="inlineStr">
        <is>
          <t>MOEE870627HYNNSD04</t>
        </is>
      </c>
      <c r="E88">
        <f>E99+1</f>
        <v/>
      </c>
      <c r="F88" t="inlineStr">
        <is>
          <t>CALLE 35 No. 331 x 18 y 20, COL. PEDREGALES DE TANLUM, MÉRIDA, YUC. CP 97210</t>
        </is>
      </c>
      <c r="G88" t="n">
        <v>9993349575</v>
      </c>
      <c r="H88" t="inlineStr">
        <is>
          <t>monfo87_@hotmail.com</t>
        </is>
      </c>
      <c r="I88" t="inlineStr">
        <is>
          <t>ESCOPETA</t>
        </is>
      </c>
      <c r="J88" t="inlineStr">
        <is>
          <t>12 GA</t>
        </is>
      </c>
      <c r="K88" t="inlineStr">
        <is>
          <t>BERETTA</t>
        </is>
      </c>
      <c r="L88" t="inlineStr">
        <is>
          <t>692</t>
        </is>
      </c>
      <c r="M88" t="inlineStr">
        <is>
          <t>SX23078A</t>
        </is>
      </c>
      <c r="N88" t="inlineStr">
        <is>
          <t>B 612874</t>
        </is>
      </c>
      <c r="O88" t="n">
        <v>0</v>
      </c>
      <c r="P88" t="n">
        <v>1</v>
      </c>
    </row>
    <row r="89">
      <c r="A89" t="n">
        <v>738</v>
      </c>
      <c r="B89" t="inlineStr">
        <is>
          <t>CALLE 50 No. 531-E x 69 y 71, CENTRO, 97000 MÉRIDA, YUC.</t>
        </is>
      </c>
      <c r="C89" t="inlineStr">
        <is>
          <t>107. JUAN CARLOS BRICEÑO GONZALEZ</t>
        </is>
      </c>
      <c r="D89" t="inlineStr">
        <is>
          <t>BIGJ760724HYNRNN06</t>
        </is>
      </c>
      <c r="E89">
        <f>E103+1</f>
        <v/>
      </c>
      <c r="F89" t="inlineStr">
        <is>
          <t>CALLE 17-A No. 389 x 16-A y 16-B, FRACC. PARAÍSO MAYA, MÉRIDA, YUC. CP 97134</t>
        </is>
      </c>
      <c r="G89" t="n">
        <v>9991637860</v>
      </c>
      <c r="H89" t="inlineStr">
        <is>
          <t>jcb197624@hotmail.com</t>
        </is>
      </c>
      <c r="I89" t="inlineStr">
        <is>
          <t>PISTOLA</t>
        </is>
      </c>
      <c r="J89" t="inlineStr">
        <is>
          <t>.380"</t>
        </is>
      </c>
      <c r="K89" t="inlineStr">
        <is>
          <t>PIETRO BERETTA</t>
        </is>
      </c>
      <c r="L89" t="inlineStr">
        <is>
          <t>84FS CHEETAH</t>
        </is>
      </c>
      <c r="M89" t="inlineStr">
        <is>
          <t>H40142Y</t>
        </is>
      </c>
      <c r="N89" t="inlineStr">
        <is>
          <t>A 3061726</t>
        </is>
      </c>
      <c r="O89" t="n">
        <v>1</v>
      </c>
      <c r="P89" t="n">
        <v>0</v>
      </c>
    </row>
    <row r="90">
      <c r="A90" t="n">
        <v>738</v>
      </c>
      <c r="B90" t="inlineStr">
        <is>
          <t>CALLE 50 No. 531-E x 69 y 71, CENTRO, 97000 MÉRIDA, YUC.</t>
        </is>
      </c>
      <c r="C90" t="inlineStr">
        <is>
          <t>107. JUAN CARLOS BRICEÑO GONZALEZ</t>
        </is>
      </c>
      <c r="D90" t="inlineStr">
        <is>
          <t>BIGJ760724HYNRNN06</t>
        </is>
      </c>
      <c r="E90">
        <f>E103+1</f>
        <v/>
      </c>
      <c r="F90" t="inlineStr">
        <is>
          <t>CALLE 17-A No. 389 x 16-A y 16-B, FRACC. PARAÍSO MAYA, MÉRIDA, YUC. CP 97134</t>
        </is>
      </c>
      <c r="G90" t="n">
        <v>9991637860</v>
      </c>
      <c r="H90" t="inlineStr">
        <is>
          <t>jcb197624@hotmail.com</t>
        </is>
      </c>
      <c r="I90" t="inlineStr">
        <is>
          <t>PISTOLA</t>
        </is>
      </c>
      <c r="J90" t="inlineStr">
        <is>
          <t>0.380"</t>
        </is>
      </c>
      <c r="K90" t="inlineStr">
        <is>
          <t>GLOCK</t>
        </is>
      </c>
      <c r="L90" t="inlineStr">
        <is>
          <t>25</t>
        </is>
      </c>
      <c r="M90" t="inlineStr">
        <is>
          <t>ADW714</t>
        </is>
      </c>
      <c r="N90" t="inlineStr">
        <is>
          <t>B 318096</t>
        </is>
      </c>
      <c r="O90" t="n">
        <v>1</v>
      </c>
      <c r="P90" t="n">
        <v>0</v>
      </c>
    </row>
    <row r="91">
      <c r="A91" t="n">
        <v>738</v>
      </c>
      <c r="B91" t="inlineStr">
        <is>
          <t>CALLE 50 No. 531-E x 69 y 71, CENTRO, 97000 MÉRIDA, YUC.</t>
        </is>
      </c>
      <c r="C91" t="inlineStr">
        <is>
          <t>107. JUAN CARLOS BRICEÑO GONZALEZ</t>
        </is>
      </c>
      <c r="D91" t="inlineStr">
        <is>
          <t>BIGJ760724HYNRNN06</t>
        </is>
      </c>
      <c r="E91">
        <f>E103+1</f>
        <v/>
      </c>
      <c r="F91" t="inlineStr">
        <is>
          <t>CALLE 17-A No. 389 x 16-A y 16-B, FRACC. PARAÍSO MAYA, MÉRIDA, YUC. CP 97134</t>
        </is>
      </c>
      <c r="G91" t="n">
        <v>9991637860</v>
      </c>
      <c r="H91" t="inlineStr">
        <is>
          <t>jcb197624@hotmail.com</t>
        </is>
      </c>
      <c r="I91" t="inlineStr">
        <is>
          <t>PISTOLA</t>
        </is>
      </c>
      <c r="J91" t="inlineStr">
        <is>
          <t>0.380"</t>
        </is>
      </c>
      <c r="K91" t="inlineStr">
        <is>
          <t>GLOCK</t>
        </is>
      </c>
      <c r="L91" t="inlineStr">
        <is>
          <t>25</t>
        </is>
      </c>
      <c r="M91" t="inlineStr">
        <is>
          <t>UDV886</t>
        </is>
      </c>
      <c r="N91" t="inlineStr">
        <is>
          <t>B 347213</t>
        </is>
      </c>
      <c r="O91" t="n">
        <v>1</v>
      </c>
      <c r="P91" t="n">
        <v>0</v>
      </c>
    </row>
    <row r="92">
      <c r="A92" t="n">
        <v>738</v>
      </c>
      <c r="B92" t="inlineStr">
        <is>
          <t>CALLE 50 No. 531-E x 69 y 71, CENTRO, 97000 MÉRIDA, YUC.</t>
        </is>
      </c>
      <c r="C92" t="inlineStr">
        <is>
          <t>107. JUAN CARLOS BRICEÑO GONZALEZ</t>
        </is>
      </c>
      <c r="D92" t="inlineStr">
        <is>
          <t>BIGJ760724HYNRNN06</t>
        </is>
      </c>
      <c r="E92">
        <f>E103+1</f>
        <v/>
      </c>
      <c r="F92" t="inlineStr">
        <is>
          <t>CALLE 17-A No. 389 x 16-A y 16-B, FRACC. PARAÍSO MAYA, MÉRIDA, YUC. CP 97134</t>
        </is>
      </c>
      <c r="G92" t="n">
        <v>9991637860</v>
      </c>
      <c r="H92" t="inlineStr">
        <is>
          <t>jcb197624@hotmail.com</t>
        </is>
      </c>
      <c r="I92" t="inlineStr">
        <is>
          <t>RIFLE</t>
        </is>
      </c>
      <c r="J92" t="inlineStr">
        <is>
          <t>0.22" L.R.</t>
        </is>
      </c>
      <c r="K92" t="inlineStr">
        <is>
          <t>REMINGTON</t>
        </is>
      </c>
      <c r="L92" t="inlineStr">
        <is>
          <t>597</t>
        </is>
      </c>
      <c r="M92" t="inlineStr">
        <is>
          <t>C2707149</t>
        </is>
      </c>
      <c r="N92" t="inlineStr">
        <is>
          <t>B 317957</t>
        </is>
      </c>
      <c r="O92" t="n">
        <v>0</v>
      </c>
      <c r="P92" t="n">
        <v>1</v>
      </c>
    </row>
    <row r="93">
      <c r="A93" t="n">
        <v>738</v>
      </c>
      <c r="B93" t="inlineStr">
        <is>
          <t>CALLE 50 No. 531-E x 69 y 71, CENTRO, 97000 MÉRIDA, YUC.</t>
        </is>
      </c>
      <c r="C93" t="inlineStr">
        <is>
          <t>113. CARLOS ANTONIO GRANJA PEREZ</t>
        </is>
      </c>
      <c r="D93" t="inlineStr">
        <is>
          <t>GAPC790619HYNRRR09</t>
        </is>
      </c>
      <c r="E93">
        <f>E109+1</f>
        <v/>
      </c>
      <c r="F93" t="inlineStr">
        <is>
          <t>CALLE 35 No. 36 x 12 y 14, FRACC. COLONIAL CHUBURNA, MÉRIDA, YUC. CP 97215</t>
        </is>
      </c>
      <c r="G93" t="n">
        <v>9999431556</v>
      </c>
      <c r="H93" t="inlineStr">
        <is>
          <t>carlosgranja@gmail.com</t>
        </is>
      </c>
      <c r="I93" t="inlineStr">
        <is>
          <t>ESCOPETA</t>
        </is>
      </c>
      <c r="J93" t="inlineStr">
        <is>
          <t>12</t>
        </is>
      </c>
      <c r="K93" t="inlineStr">
        <is>
          <t>BROWNING</t>
        </is>
      </c>
      <c r="L93" t="inlineStr">
        <is>
          <t>A5</t>
        </is>
      </c>
      <c r="M93" t="inlineStr">
        <is>
          <t>116ZY13469</t>
        </is>
      </c>
      <c r="N93" t="inlineStr">
        <is>
          <t>A 3285631</t>
        </is>
      </c>
      <c r="O93" t="n">
        <v>0</v>
      </c>
      <c r="P93" t="n">
        <v>1</v>
      </c>
    </row>
    <row r="94">
      <c r="A94" t="n">
        <v>738</v>
      </c>
      <c r="B94" t="inlineStr">
        <is>
          <t>CALLE 50 No. 531-E x 69 y 71, CENTRO, 97000 MÉRIDA, YUC.</t>
        </is>
      </c>
      <c r="C94" t="inlineStr">
        <is>
          <t>113. CARLOS ANTONIO GRANJA PEREZ</t>
        </is>
      </c>
      <c r="D94" t="inlineStr">
        <is>
          <t>GAPC790619HYNRRR09</t>
        </is>
      </c>
      <c r="E94">
        <f>E109+1</f>
        <v/>
      </c>
      <c r="F94" t="inlineStr">
        <is>
          <t>CALLE 35 No. 36 x 12 y 14, FRACC. COLONIAL CHUBURNA, MÉRIDA, YUC. CP 97215</t>
        </is>
      </c>
      <c r="G94" t="n">
        <v>9999431556</v>
      </c>
      <c r="H94" t="inlineStr">
        <is>
          <t>carlosgranja@gmail.com</t>
        </is>
      </c>
      <c r="I94" t="inlineStr">
        <is>
          <t>ESCOPETA</t>
        </is>
      </c>
      <c r="J94" t="inlineStr">
        <is>
          <t>12 GA</t>
        </is>
      </c>
      <c r="K94" t="inlineStr">
        <is>
          <t>MAVERICK</t>
        </is>
      </c>
      <c r="L94" t="inlineStr">
        <is>
          <t>EAGLE PASS TX.</t>
        </is>
      </c>
      <c r="M94" t="inlineStr">
        <is>
          <t>MV34962A</t>
        </is>
      </c>
      <c r="N94" t="inlineStr">
        <is>
          <t>A 3061736</t>
        </is>
      </c>
      <c r="O94" t="n">
        <v>0</v>
      </c>
      <c r="P94" t="n">
        <v>1</v>
      </c>
    </row>
    <row r="95">
      <c r="A95" t="n">
        <v>738</v>
      </c>
      <c r="B95" t="inlineStr">
        <is>
          <t>CALLE 50 No. 531-E x 69 y 71, CENTRO, 97000 MÉRIDA, YUC.</t>
        </is>
      </c>
      <c r="C95" t="inlineStr">
        <is>
          <t>113. CARLOS ANTONIO GRANJA PEREZ</t>
        </is>
      </c>
      <c r="D95" t="inlineStr">
        <is>
          <t>GAPC790619HYNRRR09</t>
        </is>
      </c>
      <c r="E95">
        <f>E109+1</f>
        <v/>
      </c>
      <c r="F95" t="inlineStr">
        <is>
          <t>CALLE 35 No. 36 x 12 y 14, FRACC. COLONIAL CHUBURNA, MÉRIDA, YUC. CP 97215</t>
        </is>
      </c>
      <c r="G95" t="n">
        <v>9999431556</v>
      </c>
      <c r="H95" t="inlineStr">
        <is>
          <t>carlosgranja@gmail.com</t>
        </is>
      </c>
      <c r="I95" t="inlineStr">
        <is>
          <t>RIFLE</t>
        </is>
      </c>
      <c r="J95" t="inlineStr">
        <is>
          <t>0.22"</t>
        </is>
      </c>
      <c r="K95" t="inlineStr">
        <is>
          <t>STEVENS</t>
        </is>
      </c>
      <c r="L95" t="inlineStr">
        <is>
          <t>987</t>
        </is>
      </c>
      <c r="M95" t="inlineStr">
        <is>
          <t>0783921</t>
        </is>
      </c>
      <c r="N95" t="inlineStr">
        <is>
          <t>A 3061737</t>
        </is>
      </c>
      <c r="O95" t="n">
        <v>0</v>
      </c>
      <c r="P95" t="n">
        <v>1</v>
      </c>
    </row>
    <row r="96">
      <c r="A96" t="n">
        <v>738</v>
      </c>
      <c r="B96" t="inlineStr">
        <is>
          <t>CALLE 50 No. 531-E x 69 y 71, CENTRO, 97000 MÉRIDA, YUC.</t>
        </is>
      </c>
      <c r="C96" t="inlineStr">
        <is>
          <t>113. CARLOS ANTONIO GRANJA PEREZ</t>
        </is>
      </c>
      <c r="D96" t="inlineStr">
        <is>
          <t>GAPC790619HYNRRR09</t>
        </is>
      </c>
      <c r="E96">
        <f>E109+1</f>
        <v/>
      </c>
      <c r="F96" t="inlineStr">
        <is>
          <t>CALLE 35 No. 36 x 12 y 14, FRACC. COLONIAL CHUBURNA, MÉRIDA, YUC. CP 97215</t>
        </is>
      </c>
      <c r="G96" t="n">
        <v>9999431556</v>
      </c>
      <c r="H96" t="inlineStr">
        <is>
          <t>carlosgranja@gmail.com</t>
        </is>
      </c>
      <c r="I96" t="inlineStr">
        <is>
          <t>ESCOPETA</t>
        </is>
      </c>
      <c r="J96" t="inlineStr">
        <is>
          <t>20</t>
        </is>
      </c>
      <c r="K96" t="inlineStr">
        <is>
          <t>BROWNING</t>
        </is>
      </c>
      <c r="L96" t="inlineStr">
        <is>
          <t>SILVER</t>
        </is>
      </c>
      <c r="M96" t="inlineStr">
        <is>
          <t>114ZM05273</t>
        </is>
      </c>
      <c r="N96" t="inlineStr">
        <is>
          <t>B 318058</t>
        </is>
      </c>
      <c r="O96" t="n">
        <v>0</v>
      </c>
      <c r="P96" t="n">
        <v>1</v>
      </c>
    </row>
    <row r="97">
      <c r="A97" t="n">
        <v>738</v>
      </c>
      <c r="B97" t="inlineStr">
        <is>
          <t>CALLE 50 No. 531-E x 69 y 71, CENTRO, 97000 MÉRIDA, YUC.</t>
        </is>
      </c>
      <c r="C97" t="inlineStr">
        <is>
          <t>113. CARLOS ANTONIO GRANJA PEREZ</t>
        </is>
      </c>
      <c r="D97" t="inlineStr">
        <is>
          <t>GAPC790619HYNRRR09</t>
        </is>
      </c>
      <c r="E97">
        <f>E109+1</f>
        <v/>
      </c>
      <c r="F97" t="inlineStr">
        <is>
          <t>CALLE 35 No. 36 x 12 y 14, FRACC. COLONIAL CHUBURNA, MÉRIDA, YUC. CP 97215</t>
        </is>
      </c>
      <c r="G97" t="n">
        <v>9999431556</v>
      </c>
      <c r="H97" t="inlineStr">
        <is>
          <t>carlosgranja@gmail.com</t>
        </is>
      </c>
      <c r="I97" t="inlineStr">
        <is>
          <t>RIFLE</t>
        </is>
      </c>
      <c r="J97" t="inlineStr">
        <is>
          <t>0.222"</t>
        </is>
      </c>
      <c r="K97" t="inlineStr">
        <is>
          <t>CZ</t>
        </is>
      </c>
      <c r="L97" t="inlineStr">
        <is>
          <t>527</t>
        </is>
      </c>
      <c r="M97" t="inlineStr">
        <is>
          <t>97049</t>
        </is>
      </c>
      <c r="N97" t="inlineStr">
        <is>
          <t>B 347126</t>
        </is>
      </c>
      <c r="O97" t="n">
        <v>0</v>
      </c>
      <c r="P97" t="n">
        <v>1</v>
      </c>
    </row>
    <row r="98">
      <c r="A98" t="n">
        <v>738</v>
      </c>
      <c r="B98" t="inlineStr">
        <is>
          <t>CALLE 50 No. 531-E x 69 y 71, CENTRO, 97000 MÉRIDA, YUC.</t>
        </is>
      </c>
      <c r="C98" t="inlineStr">
        <is>
          <t>113. CARLOS ANTONIO GRANJA PEREZ</t>
        </is>
      </c>
      <c r="D98" t="inlineStr">
        <is>
          <t>GAPC790619HYNRRR09</t>
        </is>
      </c>
      <c r="E98">
        <f>E109+1</f>
        <v/>
      </c>
      <c r="F98" t="inlineStr">
        <is>
          <t>CALLE 35 No. 36 x 12 y 14, FRACC. COLONIAL CHUBURNA, MÉRIDA, YUC. CP 97215</t>
        </is>
      </c>
      <c r="G98" t="n">
        <v>9999431556</v>
      </c>
      <c r="H98" t="inlineStr">
        <is>
          <t>carlosgranja@gmail.com</t>
        </is>
      </c>
      <c r="I98" t="inlineStr">
        <is>
          <t>ESCOPETA</t>
        </is>
      </c>
      <c r="J98" t="inlineStr">
        <is>
          <t>20</t>
        </is>
      </c>
      <c r="K98" t="inlineStr">
        <is>
          <t>BENELLI</t>
        </is>
      </c>
      <c r="L98" t="inlineStr">
        <is>
          <t>DUCA DI MONTEFELTRO</t>
        </is>
      </c>
      <c r="M98" t="inlineStr">
        <is>
          <t>N103817</t>
        </is>
      </c>
      <c r="N98" t="inlineStr">
        <is>
          <t>B371483</t>
        </is>
      </c>
      <c r="O98" t="n">
        <v>0</v>
      </c>
      <c r="P98" t="n">
        <v>1</v>
      </c>
    </row>
    <row r="99">
      <c r="A99" t="n">
        <v>738</v>
      </c>
      <c r="B99" t="inlineStr">
        <is>
          <t>CALLE 50 No. 531-E x 69 y 71, CENTRO, 97000 MÉRIDA, YUC.</t>
        </is>
      </c>
      <c r="C99" t="inlineStr">
        <is>
          <t>113. CARLOS ANTONIO GRANJA PEREZ</t>
        </is>
      </c>
      <c r="D99" t="inlineStr">
        <is>
          <t>GAPC790619HYNRRR09</t>
        </is>
      </c>
      <c r="E99">
        <f>E109+1</f>
        <v/>
      </c>
      <c r="F99" t="inlineStr">
        <is>
          <t>CALLE 35 No. 36 x 12 y 14, FRACC. COLONIAL CHUBURNA, MÉRIDA, YUC. CP 97215</t>
        </is>
      </c>
      <c r="G99" t="n">
        <v>9999431556</v>
      </c>
      <c r="H99" t="inlineStr">
        <is>
          <t>carlosgranja@gmail.com</t>
        </is>
      </c>
      <c r="I99" t="inlineStr">
        <is>
          <t>RIFLE</t>
        </is>
      </c>
      <c r="J99" t="inlineStr">
        <is>
          <t>308 WIN</t>
        </is>
      </c>
      <c r="K99" t="inlineStr">
        <is>
          <t>REMINGTON</t>
        </is>
      </c>
      <c r="L99" t="inlineStr">
        <is>
          <t>700</t>
        </is>
      </c>
      <c r="M99" t="inlineStr">
        <is>
          <t>G6633745</t>
        </is>
      </c>
      <c r="N99" t="inlineStr">
        <is>
          <t>B 469613</t>
        </is>
      </c>
      <c r="O99" t="n">
        <v>0</v>
      </c>
      <c r="P99" t="n">
        <v>1</v>
      </c>
    </row>
    <row r="100">
      <c r="A100" t="n">
        <v>738</v>
      </c>
      <c r="B100" t="inlineStr">
        <is>
          <t>CALLE 50 No. 531-E x 69 y 71, CENTRO, 97000 MÉRIDA, YUC.</t>
        </is>
      </c>
      <c r="C100" t="inlineStr">
        <is>
          <t>113. CARLOS ANTONIO GRANJA PEREZ</t>
        </is>
      </c>
      <c r="D100" t="inlineStr">
        <is>
          <t>GAPC790619HYNRRR09</t>
        </is>
      </c>
      <c r="E100">
        <f>E109+1</f>
        <v/>
      </c>
      <c r="F100" t="inlineStr">
        <is>
          <t>CALLE 35 No. 36 x 12 y 14, FRACC. COLONIAL CHUBURNA, MÉRIDA, YUC. CP 97215</t>
        </is>
      </c>
      <c r="G100" t="n">
        <v>9999431556</v>
      </c>
      <c r="H100" t="inlineStr">
        <is>
          <t>carlosgranja@gmail.com</t>
        </is>
      </c>
      <c r="I100" t="inlineStr">
        <is>
          <t>RIFLE</t>
        </is>
      </c>
      <c r="J100" t="inlineStr">
        <is>
          <t>0.243"</t>
        </is>
      </c>
      <c r="K100" t="inlineStr">
        <is>
          <t>WINCHESTER</t>
        </is>
      </c>
      <c r="L100" t="inlineStr">
        <is>
          <t>70</t>
        </is>
      </c>
      <c r="M100" t="inlineStr">
        <is>
          <t>365739</t>
        </is>
      </c>
      <c r="N100" t="inlineStr">
        <is>
          <t>B 469614</t>
        </is>
      </c>
      <c r="O100" t="n">
        <v>0</v>
      </c>
      <c r="P100" t="n">
        <v>1</v>
      </c>
    </row>
    <row r="101">
      <c r="A101" t="n">
        <v>738</v>
      </c>
      <c r="B101" t="inlineStr">
        <is>
          <t>CALLE 50 No. 531-E x 69 y 71, CENTRO, 97000 MÉRIDA, YUC.</t>
        </is>
      </c>
      <c r="C101" t="inlineStr">
        <is>
          <t>113. CARLOS ANTONIO GRANJA PEREZ</t>
        </is>
      </c>
      <c r="D101" t="inlineStr">
        <is>
          <t>GAPC790619HYNRRR09</t>
        </is>
      </c>
      <c r="E101">
        <f>E109+1</f>
        <v/>
      </c>
      <c r="F101" t="inlineStr">
        <is>
          <t>CALLE 35 No. 36 x 12 y 14, FRACC. COLONIAL CHUBURNA, MÉRIDA, YUC. CP 97215</t>
        </is>
      </c>
      <c r="G101" t="n">
        <v>9999431556</v>
      </c>
      <c r="H101" t="inlineStr">
        <is>
          <t>carlosgranja@gmail.com</t>
        </is>
      </c>
      <c r="I101" t="inlineStr">
        <is>
          <t>ESCOPETA</t>
        </is>
      </c>
      <c r="J101" t="inlineStr">
        <is>
          <t>20 GA</t>
        </is>
      </c>
      <c r="K101" t="inlineStr">
        <is>
          <t>WINCHESTER</t>
        </is>
      </c>
      <c r="L101" t="inlineStr">
        <is>
          <t>140</t>
        </is>
      </c>
      <c r="M101" t="inlineStr">
        <is>
          <t>N988610</t>
        </is>
      </c>
      <c r="N101" t="inlineStr">
        <is>
          <t>B 469615</t>
        </is>
      </c>
      <c r="O101" t="n">
        <v>0</v>
      </c>
      <c r="P101" t="n">
        <v>1</v>
      </c>
    </row>
    <row r="102">
      <c r="A102" t="n">
        <v>738</v>
      </c>
      <c r="B102" t="inlineStr">
        <is>
          <t>CALLE 50 No. 531-E x 69 y 71, CENTRO, 97000 MÉRIDA, YUC.</t>
        </is>
      </c>
      <c r="C102" t="inlineStr">
        <is>
          <t>113. CARLOS ANTONIO GRANJA PEREZ</t>
        </is>
      </c>
      <c r="D102" t="inlineStr">
        <is>
          <t>GAPC790619HYNRRR09</t>
        </is>
      </c>
      <c r="E102">
        <f>E109+1</f>
        <v/>
      </c>
      <c r="F102" t="inlineStr">
        <is>
          <t>CALLE 35 No. 36 x 12 y 14, FRACC. COLONIAL CHUBURNA, MÉRIDA, YUC. CP 97215</t>
        </is>
      </c>
      <c r="G102" t="n">
        <v>9999431556</v>
      </c>
      <c r="H102" t="inlineStr">
        <is>
          <t>carlosgranja@gmail.com</t>
        </is>
      </c>
      <c r="I102" t="inlineStr">
        <is>
          <t>ESCOPETA RIFLE</t>
        </is>
      </c>
      <c r="J102" t="inlineStr">
        <is>
          <t>.410" y 0.22"</t>
        </is>
      </c>
      <c r="K102" t="inlineStr">
        <is>
          <t>SAVAGE</t>
        </is>
      </c>
      <c r="L102" t="inlineStr">
        <is>
          <t>SIN</t>
        </is>
      </c>
      <c r="M102" t="inlineStr">
        <is>
          <t>24J-DL</t>
        </is>
      </c>
      <c r="N102" t="inlineStr">
        <is>
          <t>A 3279302</t>
        </is>
      </c>
      <c r="O102" t="n">
        <v>0</v>
      </c>
      <c r="P102" t="n">
        <v>1</v>
      </c>
    </row>
    <row r="103">
      <c r="A103" t="n">
        <v>738</v>
      </c>
      <c r="B103" t="inlineStr">
        <is>
          <t>CALLE 50 No. 531-E x 69 y 71, CENTRO, 97000 MÉRIDA, YUC.</t>
        </is>
      </c>
      <c r="C103" t="inlineStr">
        <is>
          <t>115. ROBERTO JOSE MADAHUAR BOEHM</t>
        </is>
      </c>
      <c r="D103" t="inlineStr">
        <is>
          <t>MABR671122HYNDHB07</t>
        </is>
      </c>
      <c r="E103">
        <f>E114+1</f>
        <v/>
      </c>
      <c r="F103" t="inlineStr">
        <is>
          <t>CALLE 41 No. 199 x 18, FRACC. MONTERREAL, MÉRIDA, YUC. CP 97133</t>
        </is>
      </c>
      <c r="G103" t="inlineStr">
        <is>
          <t>9999473478</t>
        </is>
      </c>
      <c r="H103" t="inlineStr">
        <is>
          <t>madahuar@cotexsa.com.mx</t>
        </is>
      </c>
      <c r="I103" t="inlineStr">
        <is>
          <t>ESCOPETA</t>
        </is>
      </c>
      <c r="J103" t="inlineStr">
        <is>
          <t>20</t>
        </is>
      </c>
      <c r="K103" t="inlineStr">
        <is>
          <t>BENELLI</t>
        </is>
      </c>
      <c r="L103" t="inlineStr">
        <is>
          <t>M2</t>
        </is>
      </c>
      <c r="M103" t="inlineStr">
        <is>
          <t>N143004W</t>
        </is>
      </c>
      <c r="N103" t="inlineStr">
        <is>
          <t>A 3285622</t>
        </is>
      </c>
      <c r="O103" t="n">
        <v>0</v>
      </c>
      <c r="P103" t="n">
        <v>1</v>
      </c>
    </row>
    <row r="104">
      <c r="A104" t="n">
        <v>738</v>
      </c>
      <c r="B104" t="inlineStr">
        <is>
          <t>CALLE 50 No. 531-E x 69 y 71, CENTRO, 97000 MÉRIDA, YUC.</t>
        </is>
      </c>
      <c r="C104" t="inlineStr">
        <is>
          <t>115. ROBERTO JOSE MADAHUAR BOEHM</t>
        </is>
      </c>
      <c r="D104" t="inlineStr">
        <is>
          <t>MABR671122HYNDHB07</t>
        </is>
      </c>
      <c r="E104">
        <f>E114+1</f>
        <v/>
      </c>
      <c r="F104" t="inlineStr">
        <is>
          <t>CALLE 41 No. 199 x 18, FRACC. MONTERREAL, MÉRIDA, YUC. CP 97133</t>
        </is>
      </c>
      <c r="G104" t="inlineStr">
        <is>
          <t>9999473478</t>
        </is>
      </c>
      <c r="H104" t="inlineStr">
        <is>
          <t>madahuar@cotexsa.com.mx</t>
        </is>
      </c>
      <c r="I104" t="inlineStr">
        <is>
          <t>ESCOPETA</t>
        </is>
      </c>
      <c r="J104" t="inlineStr">
        <is>
          <t>12</t>
        </is>
      </c>
      <c r="K104" t="inlineStr">
        <is>
          <t>BENELLI</t>
        </is>
      </c>
      <c r="L104" t="inlineStr">
        <is>
          <t>VINCI</t>
        </is>
      </c>
      <c r="M104" t="inlineStr">
        <is>
          <t>BGO45573P</t>
        </is>
      </c>
      <c r="N104" t="inlineStr">
        <is>
          <t>A 3285623</t>
        </is>
      </c>
      <c r="O104" t="n">
        <v>0</v>
      </c>
      <c r="P104" t="n">
        <v>1</v>
      </c>
    </row>
    <row r="105">
      <c r="A105" t="n">
        <v>738</v>
      </c>
      <c r="B105" t="inlineStr">
        <is>
          <t>CALLE 50 No. 531-E x 69 y 71, CENTRO, 97000 MÉRIDA, YUC.</t>
        </is>
      </c>
      <c r="C105" t="inlineStr">
        <is>
          <t>123. HUGO MARTINEZ HERNANDEZ</t>
        </is>
      </c>
      <c r="D105" t="inlineStr">
        <is>
          <t>MAHH810329HYNRRG09</t>
        </is>
      </c>
      <c r="E105">
        <f>E125+1</f>
        <v/>
      </c>
      <c r="F105" t="inlineStr">
        <is>
          <t>CALLE 18 S/N, COL. SAN ANTONIO, HECELCHAKÁN, CAMP. CP 24800</t>
        </is>
      </c>
      <c r="G105" t="n">
        <v>9961006288</v>
      </c>
      <c r="H105" t="inlineStr">
        <is>
          <t>humh4@hotmail.com</t>
        </is>
      </c>
      <c r="I105" t="inlineStr">
        <is>
          <t>ESCOPETA</t>
        </is>
      </c>
      <c r="J105" t="n">
        <v>16</v>
      </c>
      <c r="K105" t="inlineStr">
        <is>
          <t>SIN</t>
        </is>
      </c>
      <c r="L105" t="inlineStr">
        <is>
          <t>SIN</t>
        </is>
      </c>
      <c r="M105" t="inlineStr">
        <is>
          <t>OZdU44</t>
        </is>
      </c>
      <c r="N105" t="inlineStr">
        <is>
          <t>A 3202184</t>
        </is>
      </c>
      <c r="O105" t="n">
        <v>0</v>
      </c>
      <c r="P105" t="n">
        <v>1</v>
      </c>
    </row>
    <row r="106">
      <c r="A106" t="n">
        <v>738</v>
      </c>
      <c r="B106" t="inlineStr">
        <is>
          <t>CALLE 50 No. 531-E x 69 y 71, CENTRO, 97000 MÉRIDA, YUC.</t>
        </is>
      </c>
      <c r="C106" t="inlineStr">
        <is>
          <t>123. HUGO MARTINEZ HERNANDEZ</t>
        </is>
      </c>
      <c r="D106" t="inlineStr">
        <is>
          <t>MAHH810329HYNRRG09</t>
        </is>
      </c>
      <c r="E106">
        <f>E125+1</f>
        <v/>
      </c>
      <c r="F106" t="inlineStr">
        <is>
          <t>CALLE 18 S/N, COL. SAN ANTONIO, HECELCHAKÁN, CAMP. CP 24800</t>
        </is>
      </c>
      <c r="G106" t="n">
        <v>9961006288</v>
      </c>
      <c r="H106" t="inlineStr">
        <is>
          <t>humh4@hotmail.com</t>
        </is>
      </c>
      <c r="I106" t="inlineStr">
        <is>
          <t>RIFLE</t>
        </is>
      </c>
      <c r="J106" t="inlineStr">
        <is>
          <t>30 06</t>
        </is>
      </c>
      <c r="K106" t="inlineStr">
        <is>
          <t>F.N. ACTION</t>
        </is>
      </c>
      <c r="L106" t="inlineStr">
        <is>
          <t>R01050</t>
        </is>
      </c>
      <c r="M106" t="n">
        <v>36681</v>
      </c>
      <c r="N106" t="inlineStr">
        <is>
          <t>B 516103</t>
        </is>
      </c>
      <c r="O106" t="n">
        <v>0</v>
      </c>
      <c r="P106" t="n">
        <v>1</v>
      </c>
    </row>
    <row r="107">
      <c r="A107" t="n">
        <v>738</v>
      </c>
      <c r="B107" t="inlineStr">
        <is>
          <t>CALLE 50 No. 531-E x 69 y 71, CENTRO, 97000 MÉRIDA, YUC.</t>
        </is>
      </c>
      <c r="C107" t="inlineStr">
        <is>
          <t>123. HUGO MARTINEZ HERNANDEZ</t>
        </is>
      </c>
      <c r="D107" t="inlineStr">
        <is>
          <t>MAHH810329HYNRRG09</t>
        </is>
      </c>
      <c r="E107">
        <f>E125+1</f>
        <v/>
      </c>
      <c r="F107" t="inlineStr">
        <is>
          <t>CALLE 18 S/N, COL. SAN ANTONIO, HECELCHAKÁN, CAMP. CP 24800</t>
        </is>
      </c>
      <c r="G107" t="n">
        <v>9961006288</v>
      </c>
      <c r="H107" t="inlineStr">
        <is>
          <t>humh4@hotmail.com</t>
        </is>
      </c>
      <c r="I107" t="inlineStr">
        <is>
          <t>ESCOPETA</t>
        </is>
      </c>
      <c r="J107" t="n">
        <v>12</v>
      </c>
      <c r="K107" t="inlineStr">
        <is>
          <t>PIETRO BERETTA</t>
        </is>
      </c>
      <c r="L107" t="inlineStr">
        <is>
          <t>S 55</t>
        </is>
      </c>
      <c r="M107" t="inlineStr">
        <is>
          <t>B 44702</t>
        </is>
      </c>
      <c r="N107" t="inlineStr">
        <is>
          <t>A 3287049</t>
        </is>
      </c>
      <c r="O107" t="n">
        <v>0</v>
      </c>
      <c r="P107" t="n">
        <v>1</v>
      </c>
    </row>
    <row r="108">
      <c r="A108" t="n">
        <v>738</v>
      </c>
      <c r="B108" t="inlineStr">
        <is>
          <t>CALLE 50 No. 531-E x 69 y 71, CENTRO, 97000 MÉRIDA, YUC.</t>
        </is>
      </c>
      <c r="C108" t="inlineStr">
        <is>
          <t>123. HUGO MARTINEZ HERNANDEZ</t>
        </is>
      </c>
      <c r="D108" t="inlineStr">
        <is>
          <t>MAHH810329HYNRRG09</t>
        </is>
      </c>
      <c r="E108">
        <f>E125+1</f>
        <v/>
      </c>
      <c r="F108" t="inlineStr">
        <is>
          <t>CALLE 18 S/N, COL. SAN ANTONIO, HECELCHAKÁN, CAMP. CP 24800</t>
        </is>
      </c>
      <c r="G108" t="n">
        <v>9961006288</v>
      </c>
      <c r="H108" t="inlineStr">
        <is>
          <t>humh4@hotmail.com</t>
        </is>
      </c>
      <c r="I108" t="inlineStr">
        <is>
          <t>RIFLE</t>
        </is>
      </c>
      <c r="J108" t="inlineStr">
        <is>
          <t>.270" WIN</t>
        </is>
      </c>
      <c r="K108" t="inlineStr">
        <is>
          <t>SAKO</t>
        </is>
      </c>
      <c r="L108" t="inlineStr">
        <is>
          <t>85M</t>
        </is>
      </c>
      <c r="M108" t="inlineStr">
        <is>
          <t>L89599</t>
        </is>
      </c>
      <c r="N108" t="inlineStr">
        <is>
          <t>F 315411</t>
        </is>
      </c>
      <c r="O108" t="n">
        <v>0</v>
      </c>
      <c r="P108" t="n">
        <v>1</v>
      </c>
    </row>
    <row r="109">
      <c r="A109" t="n">
        <v>738</v>
      </c>
      <c r="B109" t="inlineStr">
        <is>
          <t>CALLE 50 No. 531-E x 69 y 71, CENTRO, 97000 MÉRIDA, YUC.</t>
        </is>
      </c>
      <c r="C109" t="inlineStr">
        <is>
          <t>137. JOSE HIPOLITO BARRERA AKE</t>
        </is>
      </c>
      <c r="D109" t="inlineStr">
        <is>
          <t>BAAH530514HCCRKP07</t>
        </is>
      </c>
      <c r="E109">
        <f>E128+1</f>
        <v/>
      </c>
      <c r="F109" t="inlineStr">
        <is>
          <t>C. BENJAMIN ROMERO No. 64, U. HAB. CIUDAD CONCORDIA, CAMPECHE, CAMP. CP 24085</t>
        </is>
      </c>
      <c r="G109" t="n">
        <v>9818296516</v>
      </c>
      <c r="H109" t="inlineStr">
        <is>
          <t>josebadz@outlook.com</t>
        </is>
      </c>
      <c r="I109" t="inlineStr">
        <is>
          <t>ESCOPETA</t>
        </is>
      </c>
      <c r="J109" t="n">
        <v>12</v>
      </c>
      <c r="K109" t="inlineStr">
        <is>
          <t>MOSSBERG</t>
        </is>
      </c>
      <c r="L109" t="n">
        <v>500</v>
      </c>
      <c r="M109" t="inlineStr">
        <is>
          <t>T700656</t>
        </is>
      </c>
      <c r="N109" t="inlineStr">
        <is>
          <t>A 3378577</t>
        </is>
      </c>
      <c r="O109" t="n">
        <v>0</v>
      </c>
      <c r="P109" t="n">
        <v>1</v>
      </c>
    </row>
    <row r="110">
      <c r="A110" t="n">
        <v>738</v>
      </c>
      <c r="B110" t="inlineStr">
        <is>
          <t>CALLE 50 No. 531-E x 69 y 71, CENTRO, 97000 MÉRIDA, YUC.</t>
        </is>
      </c>
      <c r="C110" t="inlineStr">
        <is>
          <t>137. JOSE HIPOLITO BARRERA AKE</t>
        </is>
      </c>
      <c r="D110" t="inlineStr">
        <is>
          <t>BAAH530514HCCRKP07</t>
        </is>
      </c>
      <c r="E110">
        <f>E128+1</f>
        <v/>
      </c>
      <c r="F110" t="inlineStr">
        <is>
          <t>C. BENJAMIN ROMERO No. 64, U. HAB. CIUDAD CONCORDIA, CAMPECHE, CAMP. CP 24085</t>
        </is>
      </c>
      <c r="G110" t="n">
        <v>9818296516</v>
      </c>
      <c r="H110" t="inlineStr">
        <is>
          <t>josebadz@outlook.com</t>
        </is>
      </c>
      <c r="I110" t="inlineStr">
        <is>
          <t>RIFLE</t>
        </is>
      </c>
      <c r="J110" t="inlineStr">
        <is>
          <t>0.22" L.R.</t>
        </is>
      </c>
      <c r="K110" t="inlineStr">
        <is>
          <t>MENDOZA</t>
        </is>
      </c>
      <c r="L110" t="inlineStr">
        <is>
          <t>PUMA</t>
        </is>
      </c>
      <c r="M110" t="n">
        <v>7804</v>
      </c>
      <c r="N110" t="inlineStr">
        <is>
          <t>B 316923</t>
        </is>
      </c>
      <c r="O110" t="n">
        <v>0</v>
      </c>
      <c r="P110" t="n">
        <v>1</v>
      </c>
    </row>
    <row r="111">
      <c r="A111" t="n">
        <v>738</v>
      </c>
      <c r="B111" t="inlineStr">
        <is>
          <t>CALLE 50 No. 531-E x 69 y 71, CENTRO, 97000 MÉRIDA, YUC.</t>
        </is>
      </c>
      <c r="C111" t="inlineStr">
        <is>
          <t>137. JOSE HIPOLITO BARRERA AKE</t>
        </is>
      </c>
      <c r="D111" t="inlineStr">
        <is>
          <t>BAAH530514HCCRKP07</t>
        </is>
      </c>
      <c r="E111">
        <f>E128+1</f>
        <v/>
      </c>
      <c r="F111" t="inlineStr">
        <is>
          <t>C. BENJAMIN ROMERO No. 64, U. HAB. CIUDAD CONCORDIA, CAMPECHE, CAMP. CP 24085</t>
        </is>
      </c>
      <c r="G111" t="n">
        <v>9818296516</v>
      </c>
      <c r="H111" t="inlineStr">
        <is>
          <t>josebadz@outlook.com</t>
        </is>
      </c>
      <c r="I111" t="inlineStr">
        <is>
          <t>ESCOPETA</t>
        </is>
      </c>
      <c r="J111" t="inlineStr">
        <is>
          <t>20 GA</t>
        </is>
      </c>
      <c r="K111" t="inlineStr">
        <is>
          <t>MOSSBERG</t>
        </is>
      </c>
      <c r="L111" t="n">
        <v>500</v>
      </c>
      <c r="M111" t="inlineStr">
        <is>
          <t>U951313</t>
        </is>
      </c>
      <c r="N111" t="inlineStr">
        <is>
          <t>B 316922</t>
        </is>
      </c>
      <c r="O111" t="n">
        <v>0</v>
      </c>
      <c r="P111" t="n">
        <v>1</v>
      </c>
    </row>
    <row r="112">
      <c r="A112" t="n">
        <v>738</v>
      </c>
      <c r="B112" t="inlineStr">
        <is>
          <t>CALLE 50 No. 531-E x 69 y 71, CENTRO, 97000 MÉRIDA, YUC.</t>
        </is>
      </c>
      <c r="C112" t="inlineStr">
        <is>
          <t>137. JOSE HIPOLITO BARRERA AKE</t>
        </is>
      </c>
      <c r="D112" t="inlineStr">
        <is>
          <t>BAAH530514HCCRKP07</t>
        </is>
      </c>
      <c r="E112">
        <f>E128+1</f>
        <v/>
      </c>
      <c r="F112" t="inlineStr">
        <is>
          <t>C. BENJAMIN ROMERO No. 64, U. HAB. CIUDAD CONCORDIA, CAMPECHE, CAMP. CP 24085</t>
        </is>
      </c>
      <c r="G112" t="n">
        <v>9818296516</v>
      </c>
      <c r="H112" t="inlineStr">
        <is>
          <t>josebadz@outlook.com</t>
        </is>
      </c>
      <c r="I112" t="inlineStr">
        <is>
          <t>RIFLE</t>
        </is>
      </c>
      <c r="J112" t="inlineStr">
        <is>
          <t>308 WIN</t>
        </is>
      </c>
      <c r="K112" t="inlineStr">
        <is>
          <t>MOSSBERG</t>
        </is>
      </c>
      <c r="L112" t="inlineStr">
        <is>
          <t>4X4</t>
        </is>
      </c>
      <c r="M112" t="inlineStr">
        <is>
          <t>BA375043</t>
        </is>
      </c>
      <c r="N112" t="inlineStr">
        <is>
          <t>B 316921</t>
        </is>
      </c>
      <c r="O112" t="n">
        <v>0</v>
      </c>
      <c r="P112" t="n">
        <v>1</v>
      </c>
    </row>
    <row r="113">
      <c r="A113" t="n">
        <v>738</v>
      </c>
      <c r="B113" t="inlineStr">
        <is>
          <t>CALLE 50 No. 531-E x 69 y 71, CENTRO, 97000 MÉRIDA, YUC.</t>
        </is>
      </c>
      <c r="C113" t="inlineStr">
        <is>
          <t>137. JOSE HIPOLITO BARRERA AKE</t>
        </is>
      </c>
      <c r="D113" t="inlineStr">
        <is>
          <t>BAAH530514HCCRKP07</t>
        </is>
      </c>
      <c r="E113">
        <f>E128+1</f>
        <v/>
      </c>
      <c r="F113" t="inlineStr">
        <is>
          <t>C. BENJAMIN ROMERO No. 64, U. HAB. CIUDAD CONCORDIA, CAMPECHE, CAMP. CP 24085</t>
        </is>
      </c>
      <c r="G113" t="n">
        <v>9818296516</v>
      </c>
      <c r="H113" t="inlineStr">
        <is>
          <t>josebadz@outlook.com</t>
        </is>
      </c>
      <c r="I113" t="inlineStr">
        <is>
          <t>ESCOPETA</t>
        </is>
      </c>
      <c r="J113" t="inlineStr">
        <is>
          <t>12 GA</t>
        </is>
      </c>
      <c r="K113" t="inlineStr">
        <is>
          <t>MOSSBERG</t>
        </is>
      </c>
      <c r="L113" t="n">
        <v>930</v>
      </c>
      <c r="M113" t="inlineStr">
        <is>
          <t>AF145545</t>
        </is>
      </c>
      <c r="N113" t="inlineStr">
        <is>
          <t>B 536772</t>
        </is>
      </c>
      <c r="O113" t="n">
        <v>0</v>
      </c>
      <c r="P113" t="n">
        <v>1</v>
      </c>
    </row>
    <row r="114">
      <c r="A114" t="n">
        <v>738</v>
      </c>
      <c r="B114" t="inlineStr">
        <is>
          <t>CALLE 50 No. 531-E x 69 y 71, CENTRO, 97000 MÉRIDA, YUC.</t>
        </is>
      </c>
      <c r="C114" t="inlineStr">
        <is>
          <t>137. JOSE HIPOLITO BARRERA AKE</t>
        </is>
      </c>
      <c r="D114" t="inlineStr">
        <is>
          <t>BAAH530514HCCRKP07</t>
        </is>
      </c>
      <c r="E114">
        <f>E128+1</f>
        <v/>
      </c>
      <c r="F114" t="inlineStr">
        <is>
          <t>C. BENJAMIN ROMERO No. 64, U. HAB. CIUDAD CONCORDIA, CAMPECHE, CAMP. CP 24085</t>
        </is>
      </c>
      <c r="G114" t="n">
        <v>9818296516</v>
      </c>
      <c r="H114" t="inlineStr">
        <is>
          <t>josebadz@outlook.com</t>
        </is>
      </c>
      <c r="I114" t="inlineStr">
        <is>
          <t>RIFLE</t>
        </is>
      </c>
      <c r="J114" t="inlineStr">
        <is>
          <t>308" WIN</t>
        </is>
      </c>
      <c r="K114" t="inlineStr">
        <is>
          <t>CESKA ZBROJOVKA</t>
        </is>
      </c>
      <c r="L114" t="inlineStr">
        <is>
          <t>CZ 550</t>
        </is>
      </c>
      <c r="M114" t="inlineStr">
        <is>
          <t>AB05239</t>
        </is>
      </c>
      <c r="N114" t="inlineStr">
        <is>
          <t>B 519815</t>
        </is>
      </c>
      <c r="O114" t="n">
        <v>0</v>
      </c>
      <c r="P114" t="n">
        <v>1</v>
      </c>
    </row>
    <row r="115">
      <c r="A115" t="n">
        <v>738</v>
      </c>
      <c r="B115" t="inlineStr">
        <is>
          <t>CALLE 50 No. 531-E x 69 y 71, CENTRO, 97000 MÉRIDA, YUC.</t>
        </is>
      </c>
      <c r="C115" t="inlineStr">
        <is>
          <t>142. ALEJANDRO JAVIER GARCÍA GAMBOA</t>
        </is>
      </c>
      <c r="D115" t="inlineStr">
        <is>
          <t>GAGA590307HYNRML03</t>
        </is>
      </c>
      <c r="E115">
        <f>E133+1</f>
        <v/>
      </c>
      <c r="F115" t="inlineStr">
        <is>
          <t>CALLE 60 No. 385 x 41 y 43, COL. CENTRO, MÉRIDA, YUC. CP 97000</t>
        </is>
      </c>
      <c r="G115" t="n">
        <v>9999001272</v>
      </c>
      <c r="H115" t="inlineStr">
        <is>
          <t>cudaosj@hotmail.com</t>
        </is>
      </c>
      <c r="I115" t="inlineStr">
        <is>
          <t>ESCOPETA</t>
        </is>
      </c>
      <c r="J115" t="inlineStr">
        <is>
          <t>12 GA</t>
        </is>
      </c>
      <c r="K115" t="inlineStr">
        <is>
          <t>P. BERETTA</t>
        </is>
      </c>
      <c r="L115" t="inlineStr">
        <is>
          <t>A390ST</t>
        </is>
      </c>
      <c r="M115" t="inlineStr">
        <is>
          <t>P 43546E</t>
        </is>
      </c>
      <c r="N115" t="inlineStr">
        <is>
          <t>A 3285515</t>
        </is>
      </c>
      <c r="O115" t="n">
        <v>0</v>
      </c>
      <c r="P115" t="n">
        <v>1</v>
      </c>
    </row>
    <row r="116">
      <c r="A116" t="n">
        <v>738</v>
      </c>
      <c r="B116" t="inlineStr">
        <is>
          <t>CALLE 50 No. 531-E x 69 y 71, CENTRO, 97000 MÉRIDA, YUC.</t>
        </is>
      </c>
      <c r="C116" t="inlineStr">
        <is>
          <t>142. ALEJANDRO JAVIER GARCÍA GAMBOA</t>
        </is>
      </c>
      <c r="D116" t="inlineStr">
        <is>
          <t>GAGA590307HYNRML03</t>
        </is>
      </c>
      <c r="E116">
        <f>E133+1</f>
        <v/>
      </c>
      <c r="F116" t="inlineStr">
        <is>
          <t>CALLE 60 No. 385 x 41 y 43, COL. CENTRO, MÉRIDA, YUC. CP 97000</t>
        </is>
      </c>
      <c r="G116" t="n">
        <v>9999001272</v>
      </c>
      <c r="H116" t="inlineStr">
        <is>
          <t>cudaosj@hotmail.com</t>
        </is>
      </c>
      <c r="I116" t="inlineStr">
        <is>
          <t>RIFLE</t>
        </is>
      </c>
      <c r="J116" t="inlineStr">
        <is>
          <t>.300 WIN MAG.</t>
        </is>
      </c>
      <c r="K116" t="inlineStr">
        <is>
          <t>BROWNING BAR</t>
        </is>
      </c>
      <c r="L116" t="inlineStr">
        <is>
          <t>SIN</t>
        </is>
      </c>
      <c r="M116" t="inlineStr">
        <is>
          <t>137 PV 05500</t>
        </is>
      </c>
      <c r="N116" t="inlineStr">
        <is>
          <t>A 3285516</t>
        </is>
      </c>
      <c r="O116" t="n">
        <v>0</v>
      </c>
      <c r="P116" t="n">
        <v>1</v>
      </c>
    </row>
    <row r="117">
      <c r="A117" t="n">
        <v>738</v>
      </c>
      <c r="B117" t="inlineStr">
        <is>
          <t>CALLE 50 No. 531-E x 69 y 71, CENTRO, 97000 MÉRIDA, YUC.</t>
        </is>
      </c>
      <c r="C117" t="inlineStr">
        <is>
          <t>142. ALEJANDRO JAVIER GARCÍA GAMBOA</t>
        </is>
      </c>
      <c r="D117" t="inlineStr">
        <is>
          <t>GAGA590307HYNRML03</t>
        </is>
      </c>
      <c r="E117">
        <f>E133+1</f>
        <v/>
      </c>
      <c r="F117" t="inlineStr">
        <is>
          <t>CALLE 60 No. 385 x 41 y 43, COL. CENTRO, MÉRIDA, YUC. CP 97000</t>
        </is>
      </c>
      <c r="G117" t="n">
        <v>9999001272</v>
      </c>
      <c r="H117" t="inlineStr">
        <is>
          <t>cudaosj@hotmail.com</t>
        </is>
      </c>
      <c r="I117" t="inlineStr">
        <is>
          <t>RIFLE</t>
        </is>
      </c>
      <c r="J117" t="inlineStr">
        <is>
          <t>0.22" L.R.</t>
        </is>
      </c>
      <c r="K117" t="inlineStr">
        <is>
          <t>G.S.G.</t>
        </is>
      </c>
      <c r="L117" t="inlineStr">
        <is>
          <t>GSG-5</t>
        </is>
      </c>
      <c r="M117" t="inlineStr">
        <is>
          <t>B027933</t>
        </is>
      </c>
      <c r="N117" t="inlineStr">
        <is>
          <t>A 3286778</t>
        </is>
      </c>
      <c r="O117" t="n">
        <v>0</v>
      </c>
      <c r="P117" t="n">
        <v>1</v>
      </c>
    </row>
    <row r="118">
      <c r="A118" t="n">
        <v>738</v>
      </c>
      <c r="B118" t="inlineStr">
        <is>
          <t>CALLE 50 No. 531-E x 69 y 71, CENTRO, 97000 MÉRIDA, YUC.</t>
        </is>
      </c>
      <c r="C118" t="inlineStr">
        <is>
          <t>142. ALEJANDRO JAVIER GARCÍA GAMBOA</t>
        </is>
      </c>
      <c r="D118" t="inlineStr">
        <is>
          <t>GAGA590307HYNRML03</t>
        </is>
      </c>
      <c r="E118">
        <f>E133+1</f>
        <v/>
      </c>
      <c r="F118" t="inlineStr">
        <is>
          <t>CALLE 60 No. 385 x 41 y 43, COL. CENTRO, MÉRIDA, YUC. CP 97000</t>
        </is>
      </c>
      <c r="G118" t="n">
        <v>9999001272</v>
      </c>
      <c r="H118" t="inlineStr">
        <is>
          <t>cudaosj@hotmail.com</t>
        </is>
      </c>
      <c r="I118" t="inlineStr">
        <is>
          <t>RIFLE</t>
        </is>
      </c>
      <c r="J118" t="inlineStr">
        <is>
          <t>0.22" L.R.</t>
        </is>
      </c>
      <c r="K118" t="inlineStr">
        <is>
          <t>G.S.G.</t>
        </is>
      </c>
      <c r="L118" t="inlineStr">
        <is>
          <t>GSG-5</t>
        </is>
      </c>
      <c r="M118" t="inlineStr">
        <is>
          <t>B027932</t>
        </is>
      </c>
      <c r="N118" t="inlineStr">
        <is>
          <t>A 3286779</t>
        </is>
      </c>
      <c r="O118" t="n">
        <v>0</v>
      </c>
      <c r="P118" t="n">
        <v>1</v>
      </c>
    </row>
    <row r="119">
      <c r="A119" t="n">
        <v>738</v>
      </c>
      <c r="B119" t="inlineStr">
        <is>
          <t>CALLE 50 No. 531-E x 69 y 71, CENTRO, 97000 MÉRIDA, YUC.</t>
        </is>
      </c>
      <c r="C119" t="inlineStr">
        <is>
          <t>142. ALEJANDRO JAVIER GARCÍA GAMBOA</t>
        </is>
      </c>
      <c r="D119" t="inlineStr">
        <is>
          <t>GAGA590307HYNRML03</t>
        </is>
      </c>
      <c r="E119">
        <f>E133+1</f>
        <v/>
      </c>
      <c r="F119" t="inlineStr">
        <is>
          <t>CALLE 60 No. 385 x 41 y 43, COL. CENTRO, MÉRIDA, YUC. CP 97000</t>
        </is>
      </c>
      <c r="G119" t="n">
        <v>9999001272</v>
      </c>
      <c r="H119" t="inlineStr">
        <is>
          <t>cudaosj@hotmail.com</t>
        </is>
      </c>
      <c r="I119" t="inlineStr">
        <is>
          <t>RIFLE</t>
        </is>
      </c>
      <c r="J119" t="inlineStr">
        <is>
          <t>0.22" L.R.</t>
        </is>
      </c>
      <c r="K119" t="inlineStr">
        <is>
          <t>G.S.G.</t>
        </is>
      </c>
      <c r="L119" t="inlineStr">
        <is>
          <t>GSG-5</t>
        </is>
      </c>
      <c r="M119" t="inlineStr">
        <is>
          <t>B029292</t>
        </is>
      </c>
      <c r="N119" t="inlineStr">
        <is>
          <t>A 3286780</t>
        </is>
      </c>
      <c r="O119" t="n">
        <v>0</v>
      </c>
      <c r="P119" t="n">
        <v>1</v>
      </c>
    </row>
    <row r="120">
      <c r="A120" t="n">
        <v>738</v>
      </c>
      <c r="B120" t="inlineStr">
        <is>
          <t>CALLE 50 No. 531-E x 69 y 71, CENTRO, 97000 MÉRIDA, YUC.</t>
        </is>
      </c>
      <c r="C120" t="inlineStr">
        <is>
          <t>144. SERGIO MUÑOZ DE ALBA MEDRANO</t>
        </is>
      </c>
      <c r="D120" t="inlineStr">
        <is>
          <t>MUMS640728HDFXDR02</t>
        </is>
      </c>
      <c r="E120">
        <f>E140+1</f>
        <v/>
      </c>
      <c r="F120" t="inlineStr">
        <is>
          <t>CALLE 26 No. 246 x 15 DEPTO. B COL VISTA ALEGRE, MÉRIDA, YUC. C.P. 97130</t>
        </is>
      </c>
      <c r="G120" t="n">
        <v>9992005550</v>
      </c>
      <c r="H120" t="inlineStr">
        <is>
          <t>smunozam@gmail.com</t>
        </is>
      </c>
      <c r="I120" t="inlineStr">
        <is>
          <t>ESCOPETA</t>
        </is>
      </c>
      <c r="J120" t="inlineStr">
        <is>
          <t>12 GA</t>
        </is>
      </c>
      <c r="K120" t="inlineStr">
        <is>
          <t>BROWNING</t>
        </is>
      </c>
      <c r="L120" t="inlineStr">
        <is>
          <t>PHOENIX</t>
        </is>
      </c>
      <c r="M120" t="inlineStr">
        <is>
          <t>113MP17119</t>
        </is>
      </c>
      <c r="N120" t="inlineStr">
        <is>
          <t>A 3777701</t>
        </is>
      </c>
      <c r="O120" t="n">
        <v>0</v>
      </c>
      <c r="P120" t="n">
        <v>1</v>
      </c>
    </row>
    <row r="121">
      <c r="A121" t="n">
        <v>738</v>
      </c>
      <c r="B121" t="inlineStr">
        <is>
          <t>CALLE 50 No. 531-E x 69 y 71, CENTRO, 97000 MÉRIDA, YUC.</t>
        </is>
      </c>
      <c r="C121" t="inlineStr">
        <is>
          <t>144. SERGIO MUÑOZ DE ALBA MEDRANO</t>
        </is>
      </c>
      <c r="D121" t="inlineStr">
        <is>
          <t>MUMS640728HDFXDR02</t>
        </is>
      </c>
      <c r="E121">
        <f>E140+1</f>
        <v/>
      </c>
      <c r="F121" t="inlineStr">
        <is>
          <t>CALLE 26 No. 246 x 15 DEPTO. B COL VISTA ALEGRE, MÉRIDA, YUC. C.P. 97130</t>
        </is>
      </c>
      <c r="G121" t="n">
        <v>9992005550</v>
      </c>
      <c r="H121" t="inlineStr">
        <is>
          <t>smunozam@gmail.com</t>
        </is>
      </c>
      <c r="I121" t="inlineStr">
        <is>
          <t>ESCOPETA</t>
        </is>
      </c>
      <c r="J121" t="inlineStr">
        <is>
          <t>12 GA</t>
        </is>
      </c>
      <c r="K121" t="inlineStr">
        <is>
          <t>P. BERETTA</t>
        </is>
      </c>
      <c r="L121" t="inlineStr">
        <is>
          <t>682 GOLD E.</t>
        </is>
      </c>
      <c r="M121" t="inlineStr">
        <is>
          <t>U 17049 B</t>
        </is>
      </c>
      <c r="N121" t="inlineStr">
        <is>
          <t>A 3777708</t>
        </is>
      </c>
      <c r="O121" t="n">
        <v>0</v>
      </c>
      <c r="P121" t="n">
        <v>1</v>
      </c>
    </row>
    <row r="122">
      <c r="A122" t="n">
        <v>738</v>
      </c>
      <c r="B122" t="inlineStr">
        <is>
          <t>CALLE 50 No. 531-E x 69 y 71, CENTRO, 97000 MÉRIDA, YUC.</t>
        </is>
      </c>
      <c r="C122" t="inlineStr">
        <is>
          <t>144. SERGIO MUÑOZ DE ALBA MEDRANO</t>
        </is>
      </c>
      <c r="D122" t="inlineStr">
        <is>
          <t>MUMS640728HDFXDR02</t>
        </is>
      </c>
      <c r="E122">
        <f>E140+1</f>
        <v/>
      </c>
      <c r="F122" t="inlineStr">
        <is>
          <t>CALLE 26 No. 246 x 15 DEPTO. B COL VISTA ALEGRE, MÉRIDA, YUC. C.P. 97130</t>
        </is>
      </c>
      <c r="G122" t="n">
        <v>9992005550</v>
      </c>
      <c r="H122" t="inlineStr">
        <is>
          <t>smunozam@gmail.com</t>
        </is>
      </c>
      <c r="I122" t="inlineStr">
        <is>
          <t>PISTOLA</t>
        </is>
      </c>
      <c r="J122" t="inlineStr">
        <is>
          <t xml:space="preserve">.380" </t>
        </is>
      </c>
      <c r="K122" t="inlineStr">
        <is>
          <t>CESKA ZBROJOVKA</t>
        </is>
      </c>
      <c r="L122" t="inlineStr">
        <is>
          <t>CZ SHADOW 2</t>
        </is>
      </c>
      <c r="M122" t="inlineStr">
        <is>
          <t>FP38781</t>
        </is>
      </c>
      <c r="N122" t="inlineStr">
        <is>
          <t>A3892688</t>
        </is>
      </c>
      <c r="O122" t="n">
        <v>1</v>
      </c>
      <c r="P122" t="n">
        <v>0</v>
      </c>
    </row>
    <row r="123">
      <c r="A123" t="n">
        <v>738</v>
      </c>
      <c r="B123" t="inlineStr">
        <is>
          <t>CALLE 50 No. 531-E x 69 y 71, CENTRO, 97000 MÉRIDA, YUC.</t>
        </is>
      </c>
      <c r="C123" t="inlineStr">
        <is>
          <t>144. SERGIO MUÑOZ DE ALBA MEDRANO</t>
        </is>
      </c>
      <c r="D123" t="inlineStr">
        <is>
          <t>MUMS640728HDFXDR02</t>
        </is>
      </c>
      <c r="E123">
        <f>E140+1</f>
        <v/>
      </c>
      <c r="F123" t="inlineStr">
        <is>
          <t>CALLE 26 No. 246 x 15 DEPTO. B COL VISTA ALEGRE, MÉRIDA, YUC. C.P. 97130</t>
        </is>
      </c>
      <c r="G123" t="n">
        <v>9992005550</v>
      </c>
      <c r="H123" t="inlineStr">
        <is>
          <t>smunozam@gmail.com</t>
        </is>
      </c>
      <c r="I123" t="inlineStr">
        <is>
          <t>RIFLE</t>
        </is>
      </c>
      <c r="J123" t="inlineStr">
        <is>
          <t>.22" L.R.</t>
        </is>
      </c>
      <c r="K123" t="inlineStr">
        <is>
          <t>CESKA ZBROJOVKA</t>
        </is>
      </c>
      <c r="L123" t="inlineStr">
        <is>
          <t>CZ452-2E ZKM</t>
        </is>
      </c>
      <c r="M123" t="inlineStr">
        <is>
          <t>A800214</t>
        </is>
      </c>
      <c r="N123" t="inlineStr">
        <is>
          <t>A 3777704</t>
        </is>
      </c>
      <c r="O123" t="n">
        <v>0</v>
      </c>
      <c r="P123" t="n">
        <v>1</v>
      </c>
    </row>
    <row r="124">
      <c r="A124" t="n">
        <v>738</v>
      </c>
      <c r="B124" t="inlineStr">
        <is>
          <t>CALLE 50 No. 531-E x 69 y 71, CENTRO, 97000 MÉRIDA, YUC.</t>
        </is>
      </c>
      <c r="C124" t="inlineStr">
        <is>
          <t>144. SERGIO MUÑOZ DE ALBA MEDRANO</t>
        </is>
      </c>
      <c r="D124" t="inlineStr">
        <is>
          <t>MUMS640728HDFXDR02</t>
        </is>
      </c>
      <c r="E124">
        <f>E140+1</f>
        <v/>
      </c>
      <c r="F124" t="inlineStr">
        <is>
          <t>CALLE 26 No. 246 x 15 DEPTO. B COL VISTA ALEGRE, MÉRIDA, YUC. C.P. 97130</t>
        </is>
      </c>
      <c r="G124" t="n">
        <v>9992005550</v>
      </c>
      <c r="H124" t="inlineStr">
        <is>
          <t>smunozam@gmail.com</t>
        </is>
      </c>
      <c r="I124" t="inlineStr">
        <is>
          <t>KIT DE CONVERSION</t>
        </is>
      </c>
      <c r="J124" t="inlineStr">
        <is>
          <t>22 LR</t>
        </is>
      </c>
      <c r="K124" t="inlineStr">
        <is>
          <t>CESKA ZBROJOVKA</t>
        </is>
      </c>
      <c r="L124" t="inlineStr">
        <is>
          <t>CZ SHADOW 2</t>
        </is>
      </c>
      <c r="M124" t="inlineStr">
        <is>
          <t>EP33586</t>
        </is>
      </c>
      <c r="N124" t="inlineStr">
        <is>
          <t>A3892690</t>
        </is>
      </c>
      <c r="O124" t="n">
        <v>1</v>
      </c>
      <c r="P124" t="n">
        <v>0</v>
      </c>
    </row>
    <row r="125">
      <c r="A125" t="n">
        <v>738</v>
      </c>
      <c r="B125" t="inlineStr">
        <is>
          <t>CALLE 50 No. 531-E x 69 y 71, CENTRO, 97000 MÉRIDA, YUC.</t>
        </is>
      </c>
      <c r="C125" t="inlineStr">
        <is>
          <t>144. SERGIO MUÑOZ DE ALBA MEDRANO</t>
        </is>
      </c>
      <c r="D125" t="inlineStr">
        <is>
          <t>MUMS640728HDFXDR02</t>
        </is>
      </c>
      <c r="E125">
        <f>E140+1</f>
        <v/>
      </c>
      <c r="F125" t="inlineStr">
        <is>
          <t>CALLE 26 No. 246 x 15 DEPTO. B COL VISTA ALEGRE, MÉRIDA, YUC. C.P. 97130</t>
        </is>
      </c>
      <c r="G125" t="n">
        <v>9992005550</v>
      </c>
      <c r="H125" t="inlineStr">
        <is>
          <t>smunozam@gmail.com</t>
        </is>
      </c>
      <c r="I125" t="inlineStr">
        <is>
          <t>RIFLE</t>
        </is>
      </c>
      <c r="J125" t="inlineStr">
        <is>
          <t>.223" REM.</t>
        </is>
      </c>
      <c r="K125" t="inlineStr">
        <is>
          <t>CESKA ZBROJOVKA</t>
        </is>
      </c>
      <c r="L125" t="inlineStr">
        <is>
          <t>CZ 600 ALPHA</t>
        </is>
      </c>
      <c r="M125" t="inlineStr">
        <is>
          <t>J032612</t>
        </is>
      </c>
      <c r="N125" t="inlineStr">
        <is>
          <t>A3892689</t>
        </is>
      </c>
      <c r="O125" t="n">
        <v>0</v>
      </c>
      <c r="P125" t="n">
        <v>1</v>
      </c>
    </row>
    <row r="126">
      <c r="A126" t="n">
        <v>738</v>
      </c>
      <c r="B126" t="inlineStr">
        <is>
          <t>CALLE 50 No. 531-E x 69 y 71, CENTRO, 97000 MÉRIDA, YUC.</t>
        </is>
      </c>
      <c r="C126" t="inlineStr">
        <is>
          <t>147. ALEJANDRO GOMORY MARTINEZ</t>
        </is>
      </c>
      <c r="D126" t="inlineStr">
        <is>
          <t>GOMA780511HYNMRL05</t>
        </is>
      </c>
      <c r="E126">
        <f>E146+1</f>
        <v/>
      </c>
      <c r="F126" t="inlineStr">
        <is>
          <t>CALLE 30 No. 275-A, 53 LT. x 21-B y 55, FRACC. XAMAN KAB, MÉRIDA, YUC. C.P. 97117</t>
        </is>
      </c>
      <c r="G126" t="n">
        <v>9999490494</v>
      </c>
      <c r="H126" t="inlineStr">
        <is>
          <t>agm@galletasdonde.com</t>
        </is>
      </c>
      <c r="I126" t="inlineStr">
        <is>
          <t>PISTOLA</t>
        </is>
      </c>
      <c r="J126" t="inlineStr">
        <is>
          <t>0.380"</t>
        </is>
      </c>
      <c r="K126" t="inlineStr">
        <is>
          <t>GLOCK</t>
        </is>
      </c>
      <c r="L126" t="n">
        <v>25</v>
      </c>
      <c r="M126" t="inlineStr">
        <is>
          <t>BAMD615</t>
        </is>
      </c>
      <c r="N126" t="inlineStr">
        <is>
          <t>F 238933</t>
        </is>
      </c>
      <c r="O126" t="n">
        <v>1</v>
      </c>
      <c r="P126" t="n">
        <v>0</v>
      </c>
    </row>
    <row r="127">
      <c r="A127" t="n">
        <v>738</v>
      </c>
      <c r="B127" t="inlineStr">
        <is>
          <t>CALLE 50 No. 531-E x 69 y 71, CENTRO, 97000 MÉRIDA, YUC.</t>
        </is>
      </c>
      <c r="C127" t="inlineStr">
        <is>
          <t>147. ALEJANDRO GOMORY MARTINEZ</t>
        </is>
      </c>
      <c r="D127" t="inlineStr">
        <is>
          <t>GOMA780511HYNMRL05</t>
        </is>
      </c>
      <c r="E127">
        <f>E146+1</f>
        <v/>
      </c>
      <c r="F127" t="inlineStr">
        <is>
          <t>CALLE 30 No. 275-A, 53 LT. x 21-B y 55, FRACC. XAMAN KAB, MÉRIDA, YUC. C.P. 97117</t>
        </is>
      </c>
      <c r="G127" t="n">
        <v>9999490494</v>
      </c>
      <c r="H127" t="inlineStr">
        <is>
          <t>agm@galletasdonde.com</t>
        </is>
      </c>
      <c r="I127" t="inlineStr">
        <is>
          <t>RIFLE</t>
        </is>
      </c>
      <c r="J127" t="inlineStr">
        <is>
          <t>0.22" L.R.</t>
        </is>
      </c>
      <c r="K127" t="inlineStr">
        <is>
          <t>G.S.G.</t>
        </is>
      </c>
      <c r="L127" t="inlineStr">
        <is>
          <t>GSG-5</t>
        </is>
      </c>
      <c r="M127" t="inlineStr">
        <is>
          <t>B027958</t>
        </is>
      </c>
      <c r="N127" t="inlineStr">
        <is>
          <t>F 238934</t>
        </is>
      </c>
      <c r="O127" t="n">
        <v>0</v>
      </c>
      <c r="P127" t="n">
        <v>1</v>
      </c>
    </row>
    <row r="128">
      <c r="A128" t="n">
        <v>738</v>
      </c>
      <c r="B128" t="inlineStr">
        <is>
          <t>CALLE 50 No. 531-E x 69 y 71, CENTRO, 97000 MÉRIDA, YUC.</t>
        </is>
      </c>
      <c r="C128" t="inlineStr">
        <is>
          <t>147. ALEJANDRO GOMORY MARTINEZ</t>
        </is>
      </c>
      <c r="D128" t="inlineStr">
        <is>
          <t>GOMA780511HYNMRL05</t>
        </is>
      </c>
      <c r="E128">
        <f>E146+1</f>
        <v/>
      </c>
      <c r="F128" t="inlineStr">
        <is>
          <t>CALLE 30 No. 275-A, 53 LT. x 21-B y 55, FRACC. XAMAN KAB, MÉRIDA, YUC. C.P. 97117</t>
        </is>
      </c>
      <c r="G128" t="n">
        <v>9999490494</v>
      </c>
      <c r="H128" t="inlineStr">
        <is>
          <t>agm@galletasdonde.com</t>
        </is>
      </c>
      <c r="I128" t="inlineStr">
        <is>
          <t>RIFLE</t>
        </is>
      </c>
      <c r="J128" t="inlineStr">
        <is>
          <t>0.308" WIN</t>
        </is>
      </c>
      <c r="K128" t="inlineStr">
        <is>
          <t>SAKO</t>
        </is>
      </c>
      <c r="L128" t="inlineStr">
        <is>
          <t>T3</t>
        </is>
      </c>
      <c r="M128" t="inlineStr">
        <is>
          <t>D05200</t>
        </is>
      </c>
      <c r="N128" t="inlineStr">
        <is>
          <t>F 240556</t>
        </is>
      </c>
      <c r="O128" t="n">
        <v>0</v>
      </c>
      <c r="P128" t="n">
        <v>1</v>
      </c>
    </row>
    <row r="129">
      <c r="A129" t="n">
        <v>738</v>
      </c>
      <c r="B129" t="inlineStr">
        <is>
          <t>CALLE 50 No. 531-E x 69 y 71, CENTRO, 97000 MÉRIDA, YUC.</t>
        </is>
      </c>
      <c r="C129" t="inlineStr">
        <is>
          <t>147. ALEJANDRO GOMORY MARTINEZ</t>
        </is>
      </c>
      <c r="D129" t="inlineStr">
        <is>
          <t>GOMA780511HYNMRL05</t>
        </is>
      </c>
      <c r="E129">
        <f>E146+1</f>
        <v/>
      </c>
      <c r="F129" t="inlineStr">
        <is>
          <t>CALLE 30 No. 275-A, 53 LT. x 21-B y 55, FRACC. XAMAN KAB, MÉRIDA, YUC. C.P. 97117</t>
        </is>
      </c>
      <c r="G129" t="n">
        <v>9999490494</v>
      </c>
      <c r="H129" t="inlineStr">
        <is>
          <t>agm@galletasdonde.com</t>
        </is>
      </c>
      <c r="I129" t="inlineStr">
        <is>
          <t>ESCOPETA</t>
        </is>
      </c>
      <c r="J129" t="inlineStr">
        <is>
          <t>12 GA</t>
        </is>
      </c>
      <c r="K129" t="inlineStr">
        <is>
          <t>REMINGTON</t>
        </is>
      </c>
      <c r="L129" t="n">
        <v>1100</v>
      </c>
      <c r="M129" t="inlineStr">
        <is>
          <t>H623354L</t>
        </is>
      </c>
      <c r="N129" t="inlineStr">
        <is>
          <t>A 3286350</t>
        </is>
      </c>
      <c r="O129" t="n">
        <v>0</v>
      </c>
      <c r="P129" t="n">
        <v>1</v>
      </c>
    </row>
    <row r="130">
      <c r="A130" t="n">
        <v>738</v>
      </c>
      <c r="B130" t="inlineStr">
        <is>
          <t>CALLE 50 No. 531-E x 69 y 71, CENTRO, 97000 MÉRIDA, YUC.</t>
        </is>
      </c>
      <c r="C130" t="inlineStr">
        <is>
          <t>147. ALEJANDRO GOMORY MARTINEZ</t>
        </is>
      </c>
      <c r="D130" t="inlineStr">
        <is>
          <t>GOMA780511HYNMRL05</t>
        </is>
      </c>
      <c r="E130">
        <f>E146+1</f>
        <v/>
      </c>
      <c r="F130" t="inlineStr">
        <is>
          <t>CALLE 30 No. 275-A, 53 LT. x 21-B y 55, FRACC. XAMAN KAB, MÉRIDA, YUC. C.P. 97117</t>
        </is>
      </c>
      <c r="G130" t="n">
        <v>9999490494</v>
      </c>
      <c r="H130" t="inlineStr">
        <is>
          <t>agm@galletasdonde.com</t>
        </is>
      </c>
      <c r="I130" t="inlineStr">
        <is>
          <t>REVOLVER</t>
        </is>
      </c>
      <c r="J130" t="inlineStr">
        <is>
          <t>0.22" L.R.</t>
        </is>
      </c>
      <c r="K130" t="inlineStr">
        <is>
          <t>COLT</t>
        </is>
      </c>
      <c r="L130" t="inlineStr">
        <is>
          <t>SIN</t>
        </is>
      </c>
      <c r="M130" t="inlineStr">
        <is>
          <t>92689F</t>
        </is>
      </c>
      <c r="N130" t="inlineStr">
        <is>
          <t>A 3419303</t>
        </is>
      </c>
      <c r="O130" t="n">
        <v>1</v>
      </c>
      <c r="P130" t="n">
        <v>0</v>
      </c>
    </row>
    <row r="131">
      <c r="A131" t="n">
        <v>738</v>
      </c>
      <c r="B131" t="inlineStr">
        <is>
          <t>CALLE 50 No. 531-E x 69 y 71, CENTRO, 97000 MÉRIDA, YUC.</t>
        </is>
      </c>
      <c r="C131" t="inlineStr">
        <is>
          <t>147. ALEJANDRO GOMORY MARTINEZ</t>
        </is>
      </c>
      <c r="D131" t="inlineStr">
        <is>
          <t>GOMA780511HYNMRL05</t>
        </is>
      </c>
      <c r="E131">
        <f>E146+1</f>
        <v/>
      </c>
      <c r="F131" t="inlineStr">
        <is>
          <t>CALLE 30 No. 275-A, 53 LT. x 21-B y 55, FRACC. XAMAN KAB, MÉRIDA, YUC. C.P. 97117</t>
        </is>
      </c>
      <c r="G131" t="n">
        <v>9999490494</v>
      </c>
      <c r="H131" t="inlineStr">
        <is>
          <t>agm@galletasdonde.com</t>
        </is>
      </c>
      <c r="I131" t="inlineStr">
        <is>
          <t>RIFLE</t>
        </is>
      </c>
      <c r="J131" t="inlineStr">
        <is>
          <t>0.223" REM.</t>
        </is>
      </c>
      <c r="K131" t="inlineStr">
        <is>
          <t>BENELLI</t>
        </is>
      </c>
      <c r="L131" t="inlineStr">
        <is>
          <t>MR1</t>
        </is>
      </c>
      <c r="M131" t="inlineStr">
        <is>
          <t xml:space="preserve">BC008732G </t>
        </is>
      </c>
      <c r="N131" t="inlineStr">
        <is>
          <t>F 244773</t>
        </is>
      </c>
      <c r="O131" t="n">
        <v>0</v>
      </c>
      <c r="P131" t="n">
        <v>1</v>
      </c>
    </row>
    <row r="132">
      <c r="A132" t="n">
        <v>738</v>
      </c>
      <c r="B132" t="inlineStr">
        <is>
          <t>CALLE 50 No. 531-E x 69 y 71, CENTRO, 97000 MÉRIDA, YUC.</t>
        </is>
      </c>
      <c r="C132" t="inlineStr">
        <is>
          <t>148. JAVIER RUZ PERAZA</t>
        </is>
      </c>
      <c r="D132" t="inlineStr">
        <is>
          <t>RUPJ920129HYNZRV07</t>
        </is>
      </c>
      <c r="E132">
        <f>E153+1</f>
        <v/>
      </c>
      <c r="F132" t="inlineStr">
        <is>
          <t>CALLE 17 No. 87 x 16 y 18, COL. MÉXICO NORTE, MÉRIDA, YUC. C.P. 97128</t>
        </is>
      </c>
      <c r="G132" t="n">
        <v>9992429052</v>
      </c>
      <c r="H132" t="inlineStr">
        <is>
          <t>javier_ruzperaza@hotmail.com</t>
        </is>
      </c>
      <c r="I132" t="inlineStr">
        <is>
          <t>RIFLE</t>
        </is>
      </c>
      <c r="J132" t="inlineStr">
        <is>
          <t>0.223" REM</t>
        </is>
      </c>
      <c r="K132" t="inlineStr">
        <is>
          <t>BENELLI</t>
        </is>
      </c>
      <c r="L132" t="inlineStr">
        <is>
          <t>MR1</t>
        </is>
      </c>
      <c r="M132" t="inlineStr">
        <is>
          <t>BC008015W</t>
        </is>
      </c>
      <c r="N132" t="inlineStr">
        <is>
          <t>A 3419134</t>
        </is>
      </c>
      <c r="O132" t="n">
        <v>0</v>
      </c>
      <c r="P132" t="n">
        <v>1</v>
      </c>
    </row>
    <row r="133">
      <c r="A133" t="n">
        <v>738</v>
      </c>
      <c r="B133" t="inlineStr">
        <is>
          <t>CALLE 50 No. 531-E x 69 y 71, CENTRO, 97000 MÉRIDA, YUC.</t>
        </is>
      </c>
      <c r="C133" t="inlineStr">
        <is>
          <t>148. JAVIER RUZ PERAZA</t>
        </is>
      </c>
      <c r="D133" t="inlineStr">
        <is>
          <t>RUPJ920129HYNZRV07</t>
        </is>
      </c>
      <c r="E133">
        <f>E153+1</f>
        <v/>
      </c>
      <c r="F133" t="inlineStr">
        <is>
          <t>CALLE 17 No. 87 x 16 y 18, COL. MÉXICO NORTE, MÉRIDA, YUC. C.P. 97128</t>
        </is>
      </c>
      <c r="G133" t="n">
        <v>9992429052</v>
      </c>
      <c r="H133" t="inlineStr">
        <is>
          <t>javier_ruzperaza@hotmail.com</t>
        </is>
      </c>
      <c r="I133" t="inlineStr">
        <is>
          <t>ESCOPETA</t>
        </is>
      </c>
      <c r="J133" t="inlineStr">
        <is>
          <t>12 GA</t>
        </is>
      </c>
      <c r="K133" t="inlineStr">
        <is>
          <t>ATA ARMS</t>
        </is>
      </c>
      <c r="L133" t="inlineStr">
        <is>
          <t>CY</t>
        </is>
      </c>
      <c r="M133" t="inlineStr">
        <is>
          <t>17/D02120</t>
        </is>
      </c>
      <c r="N133" t="inlineStr">
        <is>
          <t>F 272014</t>
        </is>
      </c>
      <c r="O133" t="n">
        <v>0</v>
      </c>
      <c r="P133" t="n">
        <v>1</v>
      </c>
    </row>
    <row r="134">
      <c r="A134" t="n">
        <v>738</v>
      </c>
      <c r="B134" t="inlineStr">
        <is>
          <t>CALLE 50 No. 531-E x 69 y 71, CENTRO, 97000 MÉRIDA, YUC.</t>
        </is>
      </c>
      <c r="C134" t="inlineStr">
        <is>
          <t>148. JAVIER RUZ PERAZA</t>
        </is>
      </c>
      <c r="D134" t="inlineStr">
        <is>
          <t>RUPJ920129HYNZRV07</t>
        </is>
      </c>
      <c r="E134">
        <f>E153+1</f>
        <v/>
      </c>
      <c r="F134" t="inlineStr">
        <is>
          <t>CALLE 17 No. 87 x 16 y 18, COL. MÉXICO NORTE, MÉRIDA, YUC. C.P. 97128</t>
        </is>
      </c>
      <c r="G134" t="n">
        <v>9992429052</v>
      </c>
      <c r="H134" t="inlineStr">
        <is>
          <t>javier_ruzperaza@hotmail.com</t>
        </is>
      </c>
      <c r="I134" t="inlineStr">
        <is>
          <t>PISTOLA</t>
        </is>
      </c>
      <c r="J134" t="inlineStr">
        <is>
          <t>.380" AUTO</t>
        </is>
      </c>
      <c r="K134" t="inlineStr">
        <is>
          <t>GLOCK</t>
        </is>
      </c>
      <c r="L134" t="n">
        <v>25</v>
      </c>
      <c r="M134" t="inlineStr">
        <is>
          <t>BSUM873</t>
        </is>
      </c>
      <c r="N134" t="inlineStr">
        <is>
          <t>A 3725149</t>
        </is>
      </c>
      <c r="O134" t="n">
        <v>1</v>
      </c>
      <c r="P134" t="n">
        <v>0</v>
      </c>
    </row>
    <row r="135">
      <c r="A135" t="n">
        <v>738</v>
      </c>
      <c r="B135" t="inlineStr">
        <is>
          <t>CALLE 50 No. 531-E x 69 y 71, CENTRO, 97000 MÉRIDA, YUC.</t>
        </is>
      </c>
      <c r="C135" t="inlineStr">
        <is>
          <t>148. JAVIER RUZ PERAZA</t>
        </is>
      </c>
      <c r="D135" t="inlineStr">
        <is>
          <t>RUPJ920129HYNZRV07</t>
        </is>
      </c>
      <c r="E135">
        <f>E153+1</f>
        <v/>
      </c>
      <c r="F135" t="inlineStr">
        <is>
          <t>CALLE 17 No. 87 x 16 y 18, COL. MÉXICO NORTE, MÉRIDA, YUC. C.P. 97128</t>
        </is>
      </c>
      <c r="G135" t="n">
        <v>9992429052</v>
      </c>
      <c r="H135" t="inlineStr">
        <is>
          <t>javier_ruzperaza@hotmail.com</t>
        </is>
      </c>
      <c r="I135" t="inlineStr">
        <is>
          <t>PISTOLA</t>
        </is>
      </c>
      <c r="J135" t="inlineStr">
        <is>
          <t>380 AUTO</t>
        </is>
      </c>
      <c r="K135" t="inlineStr">
        <is>
          <t>CESKA ZBROJOVKA</t>
        </is>
      </c>
      <c r="L135" t="inlineStr">
        <is>
          <t>CZ P-10 C</t>
        </is>
      </c>
      <c r="M135" t="inlineStr">
        <is>
          <t>CP18165</t>
        </is>
      </c>
      <c r="N135" t="inlineStr">
        <is>
          <t>A 3725147</t>
        </is>
      </c>
      <c r="O135" t="n">
        <v>1</v>
      </c>
      <c r="P135" t="n">
        <v>0</v>
      </c>
    </row>
    <row r="136">
      <c r="A136" t="n">
        <v>738</v>
      </c>
      <c r="B136" t="inlineStr">
        <is>
          <t>CALLE 50 No. 531-E x 69 y 71, CENTRO, 97000 MÉRIDA, YUC.</t>
        </is>
      </c>
      <c r="C136" t="inlineStr">
        <is>
          <t>148. JAVIER RUZ PERAZA</t>
        </is>
      </c>
      <c r="D136" t="inlineStr">
        <is>
          <t>RUPJ920129HYNZRV07</t>
        </is>
      </c>
      <c r="E136">
        <f>E153+1</f>
        <v/>
      </c>
      <c r="F136" t="inlineStr">
        <is>
          <t>CALLE 17 No. 87 x 16 y 18, COL. MÉXICO NORTE, MÉRIDA, YUC. C.P. 97128</t>
        </is>
      </c>
      <c r="G136" t="n">
        <v>9992429052</v>
      </c>
      <c r="H136" t="inlineStr">
        <is>
          <t>javier_ruzperaza@hotmail.com</t>
        </is>
      </c>
      <c r="I136" t="inlineStr">
        <is>
          <t>RIFLE</t>
        </is>
      </c>
      <c r="J136" t="inlineStr">
        <is>
          <t>.22" L.R.</t>
        </is>
      </c>
      <c r="K136" t="inlineStr">
        <is>
          <t>RUGER</t>
        </is>
      </c>
      <c r="L136" t="inlineStr">
        <is>
          <t>10/22..</t>
        </is>
      </c>
      <c r="M136" t="inlineStr">
        <is>
          <t>0014-07080</t>
        </is>
      </c>
      <c r="N136" t="inlineStr">
        <is>
          <t>A 3725143</t>
        </is>
      </c>
      <c r="O136" t="n">
        <v>0</v>
      </c>
      <c r="P136" t="n">
        <v>1</v>
      </c>
    </row>
    <row r="137">
      <c r="A137" t="n">
        <v>738</v>
      </c>
      <c r="B137" t="inlineStr">
        <is>
          <t>CALLE 50 No. 531-E x 69 y 71, CENTRO, 97000 MÉRIDA, YUC.</t>
        </is>
      </c>
      <c r="C137" t="inlineStr">
        <is>
          <t>148. JAVIER RUZ PERAZA</t>
        </is>
      </c>
      <c r="D137" t="inlineStr">
        <is>
          <t>RUPJ920129HYNZRV07</t>
        </is>
      </c>
      <c r="E137">
        <f>E153+1</f>
        <v/>
      </c>
      <c r="F137" t="inlineStr">
        <is>
          <t>CALLE 17 No. 87 x 16 y 18, COL. MÉXICO NORTE, MÉRIDA, YUC. C.P. 97128</t>
        </is>
      </c>
      <c r="G137" t="n">
        <v>9992429052</v>
      </c>
      <c r="H137" t="inlineStr">
        <is>
          <t>javier_ruzperaza@hotmail.com</t>
        </is>
      </c>
      <c r="I137" t="inlineStr">
        <is>
          <t>RIFLE</t>
        </is>
      </c>
      <c r="J137" t="inlineStr">
        <is>
          <t>.22" L.R.</t>
        </is>
      </c>
      <c r="K137" t="inlineStr">
        <is>
          <t>KRISS</t>
        </is>
      </c>
      <c r="L137" t="inlineStr">
        <is>
          <t>DMK22C</t>
        </is>
      </c>
      <c r="M137" t="inlineStr">
        <is>
          <t>22C002596</t>
        </is>
      </c>
      <c r="N137" t="inlineStr">
        <is>
          <t>B614374</t>
        </is>
      </c>
      <c r="P137" t="n">
        <v>1</v>
      </c>
    </row>
    <row r="138">
      <c r="A138" t="n">
        <v>738</v>
      </c>
      <c r="B138" t="inlineStr">
        <is>
          <t>CALLE 50 No. 531-E x 69 y 71, CENTRO, 97000 MÉRIDA, YUC.</t>
        </is>
      </c>
      <c r="C138" t="inlineStr">
        <is>
          <t>148. JAVIER RUZ PERAZA</t>
        </is>
      </c>
      <c r="D138" t="inlineStr">
        <is>
          <t>RUPJ920129HYNZRV07</t>
        </is>
      </c>
      <c r="E138">
        <f>E153+1</f>
        <v/>
      </c>
      <c r="F138" t="inlineStr">
        <is>
          <t>CALLE 17 No. 87 x 16 y 18, COL. MÉXICO NORTE, MÉRIDA, YUC. C.P. 97128</t>
        </is>
      </c>
      <c r="G138" t="n">
        <v>9992429052</v>
      </c>
      <c r="H138" t="inlineStr">
        <is>
          <t>javier_ruzperaza@hotmail.com</t>
        </is>
      </c>
      <c r="I138" t="inlineStr">
        <is>
          <t>ESCOPETA</t>
        </is>
      </c>
      <c r="J138" t="inlineStr">
        <is>
          <t>12 GA</t>
        </is>
      </c>
      <c r="K138" t="inlineStr">
        <is>
          <t>MOSSBERG</t>
        </is>
      </c>
      <c r="L138" t="n">
        <v>590</v>
      </c>
      <c r="M138" t="inlineStr">
        <is>
          <t>L244003</t>
        </is>
      </c>
      <c r="N138" t="inlineStr">
        <is>
          <t>A 3681396</t>
        </is>
      </c>
      <c r="O138" t="n">
        <v>0</v>
      </c>
      <c r="P138" t="n">
        <v>1</v>
      </c>
    </row>
    <row r="139">
      <c r="A139" t="n">
        <v>738</v>
      </c>
      <c r="B139" t="inlineStr">
        <is>
          <t>CALLE 50 No. 531-E x 69 y 71, CENTRO, 97000 MÉRIDA, YUC.</t>
        </is>
      </c>
      <c r="C139" t="inlineStr">
        <is>
          <t>148. JAVIER RUZ PERAZA</t>
        </is>
      </c>
      <c r="D139" t="inlineStr">
        <is>
          <t>RUPJ920129HYNZRV07</t>
        </is>
      </c>
      <c r="E139">
        <f>E153+1</f>
        <v/>
      </c>
      <c r="F139" t="inlineStr">
        <is>
          <t>CALLE 17 No. 87 x 16 y 18, COL. MÉXICO NORTE, MÉRIDA, YUC. C.P. 97128</t>
        </is>
      </c>
      <c r="G139" t="n">
        <v>9992429052</v>
      </c>
      <c r="H139" t="inlineStr">
        <is>
          <t>javier_ruzperaza@hotmail.com</t>
        </is>
      </c>
      <c r="I139" t="inlineStr">
        <is>
          <t>ESCOPETA</t>
        </is>
      </c>
      <c r="J139" t="n">
        <v>12</v>
      </c>
      <c r="K139" t="inlineStr">
        <is>
          <t>BERETTA</t>
        </is>
      </c>
      <c r="L139" t="inlineStr">
        <is>
          <t>SV10 PREVAIL III</t>
        </is>
      </c>
      <c r="M139" t="inlineStr">
        <is>
          <t>N50960S</t>
        </is>
      </c>
      <c r="N139" t="inlineStr">
        <is>
          <t>B 570641</t>
        </is>
      </c>
      <c r="O139" t="n">
        <v>0</v>
      </c>
      <c r="P139" t="n">
        <v>1</v>
      </c>
    </row>
    <row r="140">
      <c r="A140" t="n">
        <v>738</v>
      </c>
      <c r="B140" t="inlineStr">
        <is>
          <t>CALLE 50 No. 531-E x 69 y 71, CENTRO, 97000 MÉRIDA, YUC.</t>
        </is>
      </c>
      <c r="C140" t="inlineStr">
        <is>
          <t>148. JAVIER RUZ PERAZA</t>
        </is>
      </c>
      <c r="D140" t="inlineStr">
        <is>
          <t>RUPJ920129HYNZRV07</t>
        </is>
      </c>
      <c r="E140">
        <f>E153+1</f>
        <v/>
      </c>
      <c r="F140" t="inlineStr">
        <is>
          <t>CALLE 17 No. 87 x 16 y 18, COL. MÉXICO NORTE, MÉRIDA, YUC. C.P. 97128</t>
        </is>
      </c>
      <c r="G140" t="n">
        <v>9992429052</v>
      </c>
      <c r="H140" t="inlineStr">
        <is>
          <t>javier_ruzperaza@hotmail.com</t>
        </is>
      </c>
      <c r="I140" t="inlineStr">
        <is>
          <t>RIFLE</t>
        </is>
      </c>
      <c r="J140" t="inlineStr">
        <is>
          <t>0.223"</t>
        </is>
      </c>
      <c r="K140" t="inlineStr">
        <is>
          <t>ARIZONA ARMORY PHOENIX AZ</t>
        </is>
      </c>
      <c r="L140" t="inlineStr">
        <is>
          <t>M4</t>
        </is>
      </c>
      <c r="M140" t="n">
        <v>20005</v>
      </c>
      <c r="N140" t="inlineStr">
        <is>
          <t>А 3500979</t>
        </is>
      </c>
      <c r="O140" t="n">
        <v>0</v>
      </c>
      <c r="P140" t="n">
        <v>1</v>
      </c>
    </row>
    <row r="141">
      <c r="A141" t="n">
        <v>738</v>
      </c>
      <c r="B141" t="inlineStr">
        <is>
          <t>CALLE 50 No. 531-E x 69 y 71, CENTRO, 97000 MÉRIDA, YUC.</t>
        </is>
      </c>
      <c r="C141" t="inlineStr">
        <is>
          <t>149. HANS JURGEN THIES BARBACHANO</t>
        </is>
      </c>
      <c r="D141" t="inlineStr">
        <is>
          <t>TIBH730728HQRHRN08</t>
        </is>
      </c>
      <c r="E141">
        <f>E160+1</f>
        <v/>
      </c>
      <c r="F141" t="inlineStr">
        <is>
          <t>CALLE 41 No. 162 x 36-D y 38, COL. BENITO JUÁREZ NORTE, MÉRIDA, YUC. C.P. 97119</t>
        </is>
      </c>
      <c r="G141" t="n">
        <v>9999415052</v>
      </c>
      <c r="H141" t="inlineStr">
        <is>
          <t>hanstb@gmail.com</t>
        </is>
      </c>
      <c r="I141" t="inlineStr">
        <is>
          <t>PISTOLA</t>
        </is>
      </c>
      <c r="J141" t="inlineStr">
        <is>
          <t>0.380"</t>
        </is>
      </c>
      <c r="K141" t="inlineStr">
        <is>
          <t>GLOCK</t>
        </is>
      </c>
      <c r="L141" t="n">
        <v>25</v>
      </c>
      <c r="M141" t="inlineStr">
        <is>
          <t>BAME291</t>
        </is>
      </c>
      <c r="N141" t="inlineStr">
        <is>
          <t>F 241756</t>
        </is>
      </c>
      <c r="O141" t="n">
        <v>1</v>
      </c>
      <c r="P141" t="n">
        <v>0</v>
      </c>
    </row>
    <row r="142">
      <c r="A142" t="n">
        <v>738</v>
      </c>
      <c r="B142" t="inlineStr">
        <is>
          <t>CALLE 50 No. 531-E x 69 y 71, CENTRO, 97000 MÉRIDA, YUC.</t>
        </is>
      </c>
      <c r="C142" t="inlineStr">
        <is>
          <t>149. HANS JURGEN THIES BARBACHANO</t>
        </is>
      </c>
      <c r="D142" t="inlineStr">
        <is>
          <t>TIBH730728HQRHRN08</t>
        </is>
      </c>
      <c r="E142">
        <f>E160+1</f>
        <v/>
      </c>
      <c r="F142" t="inlineStr">
        <is>
          <t>CALLE 41 No. 162 x 36-D y 38, COL. BENITO JUÁREZ NORTE, MÉRIDA, YUC. C.P. 97119</t>
        </is>
      </c>
      <c r="G142" t="n">
        <v>9999415052</v>
      </c>
      <c r="H142" t="inlineStr">
        <is>
          <t>hanstb@gmail.com</t>
        </is>
      </c>
      <c r="I142" t="inlineStr">
        <is>
          <t>RIFLE</t>
        </is>
      </c>
      <c r="J142" t="inlineStr">
        <is>
          <t>0.308" WIN</t>
        </is>
      </c>
      <c r="K142" t="inlineStr">
        <is>
          <t>TIKKA</t>
        </is>
      </c>
      <c r="L142" t="inlineStr">
        <is>
          <t>T3</t>
        </is>
      </c>
      <c r="M142" t="n">
        <v>753959</v>
      </c>
      <c r="N142" t="inlineStr">
        <is>
          <t>F 241775</t>
        </is>
      </c>
      <c r="O142" t="n">
        <v>0</v>
      </c>
      <c r="P142" t="n">
        <v>1</v>
      </c>
    </row>
    <row r="143">
      <c r="A143" t="n">
        <v>738</v>
      </c>
      <c r="B143" t="inlineStr">
        <is>
          <t>CALLE 50 No. 531-E x 69 y 71, CENTRO, 97000 MÉRIDA, YUC.</t>
        </is>
      </c>
      <c r="C143" t="inlineStr">
        <is>
          <t>149. HANS JURGEN THIES BARBACHANO</t>
        </is>
      </c>
      <c r="D143" t="inlineStr">
        <is>
          <t>TIBH730728HQRHRN08</t>
        </is>
      </c>
      <c r="E143">
        <f>E160+1</f>
        <v/>
      </c>
      <c r="F143" t="inlineStr">
        <is>
          <t>CALLE 41 No. 162 x 36-D y 38, COL. BENITO JUÁREZ NORTE, MÉRIDA, YUC. C.P. 97119</t>
        </is>
      </c>
      <c r="G143" t="n">
        <v>9999415052</v>
      </c>
      <c r="H143" t="inlineStr">
        <is>
          <t>hanstb@gmail.com</t>
        </is>
      </c>
      <c r="I143" t="inlineStr">
        <is>
          <t>ESCOPETA</t>
        </is>
      </c>
      <c r="J143" t="inlineStr">
        <is>
          <t>12 GA</t>
        </is>
      </c>
      <c r="K143" t="inlineStr">
        <is>
          <t>LANBER</t>
        </is>
      </c>
      <c r="L143" t="inlineStr">
        <is>
          <t>SIN</t>
        </is>
      </c>
      <c r="M143" t="inlineStr">
        <is>
          <t>13-03-00115-06-12-70</t>
        </is>
      </c>
      <c r="N143" t="inlineStr">
        <is>
          <t>F 241757</t>
        </is>
      </c>
      <c r="O143" t="n">
        <v>0</v>
      </c>
      <c r="P143" t="n">
        <v>1</v>
      </c>
    </row>
    <row r="144">
      <c r="A144" t="n">
        <v>738</v>
      </c>
      <c r="B144" t="inlineStr">
        <is>
          <t>CALLE 50 No. 531-E x 69 y 71, CENTRO, 97000 MÉRIDA, YUC.</t>
        </is>
      </c>
      <c r="C144" t="inlineStr">
        <is>
          <t>149. HANS JURGEN THIES BARBACHANO</t>
        </is>
      </c>
      <c r="D144" t="inlineStr">
        <is>
          <t>TIBH730728HQRHRN08</t>
        </is>
      </c>
      <c r="E144">
        <f>E160+1</f>
        <v/>
      </c>
      <c r="F144" t="inlineStr">
        <is>
          <t>CALLE 41 No. 162 x 36-D y 38, COL. BENITO JUÁREZ NORTE, MÉRIDA, YUC. C.P. 97119</t>
        </is>
      </c>
      <c r="G144" t="n">
        <v>9999415052</v>
      </c>
      <c r="H144" t="inlineStr">
        <is>
          <t>hanstb@gmail.com</t>
        </is>
      </c>
      <c r="I144" t="inlineStr">
        <is>
          <t>ESCOPETA</t>
        </is>
      </c>
      <c r="J144" t="inlineStr">
        <is>
          <t>12 GA</t>
        </is>
      </c>
      <c r="K144" t="inlineStr">
        <is>
          <t>BERETTA</t>
        </is>
      </c>
      <c r="L144" t="inlineStr">
        <is>
          <t>LITE</t>
        </is>
      </c>
      <c r="M144" t="inlineStr">
        <is>
          <t>XA153102</t>
        </is>
      </c>
      <c r="N144" t="inlineStr">
        <is>
          <t>F 243126</t>
        </is>
      </c>
      <c r="O144" t="n">
        <v>0</v>
      </c>
      <c r="P144" t="n">
        <v>1</v>
      </c>
    </row>
    <row r="145">
      <c r="A145" t="n">
        <v>738</v>
      </c>
      <c r="B145" t="inlineStr">
        <is>
          <t>CALLE 50 No. 531-E x 69 y 71, CENTRO, 97000 MÉRIDA, YUC.</t>
        </is>
      </c>
      <c r="C145" t="inlineStr">
        <is>
          <t>149. HANS JURGEN THIES BARBACHANO</t>
        </is>
      </c>
      <c r="D145" t="inlineStr">
        <is>
          <t>TIBH730728HQRHRN08</t>
        </is>
      </c>
      <c r="E145">
        <f>E160+1</f>
        <v/>
      </c>
      <c r="F145" t="inlineStr">
        <is>
          <t>CALLE 41 No. 162 x 36-D y 38, COL. BENITO JUÁREZ NORTE, MÉRIDA, YUC. C.P. 97119</t>
        </is>
      </c>
      <c r="G145" t="n">
        <v>9999415052</v>
      </c>
      <c r="H145" t="inlineStr">
        <is>
          <t>hanstb@gmail.com</t>
        </is>
      </c>
      <c r="I145" t="inlineStr">
        <is>
          <t>ESCOPETA</t>
        </is>
      </c>
      <c r="J145" t="inlineStr">
        <is>
          <t>20 GA</t>
        </is>
      </c>
      <c r="K145" t="inlineStr">
        <is>
          <t>BROWNING</t>
        </is>
      </c>
      <c r="L145" t="inlineStr">
        <is>
          <t>WHITE LIGHTNING</t>
        </is>
      </c>
      <c r="M145" t="inlineStr">
        <is>
          <t>29868ZX</t>
        </is>
      </c>
      <c r="N145" t="inlineStr">
        <is>
          <t>F 243127</t>
        </is>
      </c>
      <c r="O145" t="n">
        <v>0</v>
      </c>
      <c r="P145" t="n">
        <v>1</v>
      </c>
    </row>
    <row r="146">
      <c r="A146" t="n">
        <v>738</v>
      </c>
      <c r="B146" t="inlineStr">
        <is>
          <t>CALLE 50 No. 531-E x 69 y 71, CENTRO, 97000 MÉRIDA, YUC.</t>
        </is>
      </c>
      <c r="C146" t="inlineStr">
        <is>
          <t>149. HANS JURGEN THIES BARBACHANO</t>
        </is>
      </c>
      <c r="D146" t="inlineStr">
        <is>
          <t>TIBH730728HQRHRN08</t>
        </is>
      </c>
      <c r="E146">
        <f>E160+1</f>
        <v/>
      </c>
      <c r="F146" t="inlineStr">
        <is>
          <t>CALLE 41 No. 162 x 36-D y 38, COL. BENITO JUÁREZ NORTE, MÉRIDA, YUC. C.P. 97119</t>
        </is>
      </c>
      <c r="G146" t="n">
        <v>9999415052</v>
      </c>
      <c r="H146" t="inlineStr">
        <is>
          <t>hanstb@gmail.com</t>
        </is>
      </c>
      <c r="I146" t="inlineStr">
        <is>
          <t>RIFLE</t>
        </is>
      </c>
      <c r="J146" t="inlineStr">
        <is>
          <t>0.223" REM.</t>
        </is>
      </c>
      <c r="K146" t="inlineStr">
        <is>
          <t>BENELLI</t>
        </is>
      </c>
      <c r="L146" t="inlineStr">
        <is>
          <t>MR1</t>
        </is>
      </c>
      <c r="M146" t="inlineStr">
        <is>
          <t>BC008834N (MATRÍCULA DEL CAÑÓN CC008834N)</t>
        </is>
      </c>
      <c r="N146" t="inlineStr">
        <is>
          <t>F 243125</t>
        </is>
      </c>
      <c r="O146" t="n">
        <v>0</v>
      </c>
      <c r="P146" t="n">
        <v>1</v>
      </c>
    </row>
    <row r="147">
      <c r="A147" t="n">
        <v>738</v>
      </c>
      <c r="B147" t="inlineStr">
        <is>
          <t>CALLE 50 No. 531-E x 69 y 71, CENTRO, 97000 MÉRIDA, YUC.</t>
        </is>
      </c>
      <c r="C147" t="inlineStr">
        <is>
          <t>151. DAVID HOMERO SCHOLZ MORENO</t>
        </is>
      </c>
      <c r="D147" t="inlineStr">
        <is>
          <t>SOMD831110HTSCRV04</t>
        </is>
      </c>
      <c r="E147">
        <f>E170+1</f>
        <v/>
      </c>
      <c r="F147" t="inlineStr">
        <is>
          <t>CALLE 29 No. 471 x 42 y 46-A, COL. GONZALO GUERRERO, MÉRIDA, YUC. C.P. 97118</t>
        </is>
      </c>
      <c r="G147" t="n">
        <v>9999494819</v>
      </c>
      <c r="H147" t="inlineStr">
        <is>
          <t>david_xolz@hotmail.com</t>
        </is>
      </c>
      <c r="I147" t="inlineStr">
        <is>
          <t>ESCOPETA</t>
        </is>
      </c>
      <c r="J147" t="n">
        <v>12</v>
      </c>
      <c r="K147" t="inlineStr">
        <is>
          <t>REMINGTON</t>
        </is>
      </c>
      <c r="L147" t="n">
        <v>870</v>
      </c>
      <c r="M147" t="inlineStr">
        <is>
          <t>RS07304E</t>
        </is>
      </c>
      <c r="N147" t="inlineStr">
        <is>
          <t>B 469604</t>
        </is>
      </c>
      <c r="O147" t="n">
        <v>0</v>
      </c>
      <c r="P147" t="n">
        <v>1</v>
      </c>
    </row>
    <row r="148">
      <c r="A148" t="n">
        <v>738</v>
      </c>
      <c r="B148" t="inlineStr">
        <is>
          <t>CALLE 50 No. 531-E x 69 y 71, CENTRO, 97000 MÉRIDA, YUC.</t>
        </is>
      </c>
      <c r="C148" t="inlineStr">
        <is>
          <t>153. JOSE GILBERTO HERNANDEZ CARRILLO</t>
        </is>
      </c>
      <c r="D148" t="inlineStr">
        <is>
          <t>HECG720131HYNRRL06</t>
        </is>
      </c>
      <c r="E148">
        <f>E177+1</f>
        <v/>
      </c>
      <c r="F148" t="inlineStr">
        <is>
          <t>CALLE 2 No. 343 x 29 y 31, COL. SALVADOR ALVARADO SUR, MÉRIDA, YUC. C.P. 97196</t>
        </is>
      </c>
      <c r="G148" t="n">
        <v>9992389961</v>
      </c>
      <c r="H148" t="inlineStr">
        <is>
          <t>josegilbertohernandezcarrillo@gmail.com</t>
        </is>
      </c>
      <c r="I148" t="inlineStr">
        <is>
          <t>PISTOLA</t>
        </is>
      </c>
      <c r="J148" t="inlineStr">
        <is>
          <t>0.380"</t>
        </is>
      </c>
      <c r="K148" t="inlineStr">
        <is>
          <t>TANFOGLIO</t>
        </is>
      </c>
      <c r="L148" t="inlineStr">
        <is>
          <t>FT 9 FS</t>
        </is>
      </c>
      <c r="M148" t="inlineStr">
        <is>
          <t>AA21499</t>
        </is>
      </c>
      <c r="N148" t="inlineStr">
        <is>
          <t>A 3287024</t>
        </is>
      </c>
      <c r="O148" t="n">
        <v>1</v>
      </c>
      <c r="P148" t="n">
        <v>0</v>
      </c>
    </row>
    <row r="149">
      <c r="A149" t="n">
        <v>738</v>
      </c>
      <c r="B149" t="inlineStr">
        <is>
          <t>CALLE 50 No. 531-E x 69 y 71, CENTRO, 97000 MÉRIDA, YUC.</t>
        </is>
      </c>
      <c r="C149" t="inlineStr">
        <is>
          <t>157. EZEQUIEL GALVAN VAZQUEZ</t>
        </is>
      </c>
      <c r="D149" t="inlineStr">
        <is>
          <t>GAVE680401HTSLZZ02</t>
        </is>
      </c>
      <c r="E149">
        <f>E179+1</f>
        <v/>
      </c>
      <c r="F149" t="inlineStr">
        <is>
          <t>CALLE 31 No. 197 x 20 y 22, FRACC. LIMONES, MÉRIDA, YUC. C.P. 97219</t>
        </is>
      </c>
      <c r="G149" t="n">
        <v>9991335899</v>
      </c>
      <c r="H149" t="inlineStr">
        <is>
          <t>galvani@hotmail.com</t>
        </is>
      </c>
      <c r="I149" t="inlineStr">
        <is>
          <t>PISTOLA</t>
        </is>
      </c>
      <c r="J149" t="inlineStr">
        <is>
          <t>.380 ACP</t>
        </is>
      </c>
      <c r="K149" t="inlineStr">
        <is>
          <t>TANFOGLIO</t>
        </is>
      </c>
      <c r="L149" t="inlineStr">
        <is>
          <t>FT9FS SPORT</t>
        </is>
      </c>
      <c r="M149" t="inlineStr">
        <is>
          <t>AA23257</t>
        </is>
      </c>
      <c r="N149" t="inlineStr">
        <is>
          <t>F 263617</t>
        </is>
      </c>
      <c r="O149" t="n">
        <v>1</v>
      </c>
      <c r="P149" t="n">
        <v>0</v>
      </c>
    </row>
    <row r="150">
      <c r="A150" t="n">
        <v>738</v>
      </c>
      <c r="B150" t="inlineStr">
        <is>
          <t>CALLE 50 No. 531-E x 69 y 71, CENTRO, 97000 MÉRIDA, YUC.</t>
        </is>
      </c>
      <c r="C150" t="inlineStr">
        <is>
          <t>161. AGUSTIN MORENO VILLALOBOS</t>
        </is>
      </c>
      <c r="D150" t="inlineStr">
        <is>
          <t>MOVA910904HCCRLG09</t>
        </is>
      </c>
      <c r="E150">
        <f>E181+1</f>
        <v/>
      </c>
      <c r="F150" t="inlineStr">
        <is>
          <t>CALLE 16 S/N x 19 y 21, CENTRO, CANDELARIA, CAMP. C.P. 24330</t>
        </is>
      </c>
      <c r="G150" t="n">
        <v>9991335899</v>
      </c>
      <c r="H150" t="inlineStr">
        <is>
          <t>galvani@hotmail.com</t>
        </is>
      </c>
      <c r="I150" t="inlineStr">
        <is>
          <t>PISTOLA</t>
        </is>
      </c>
      <c r="J150" t="inlineStr">
        <is>
          <t>0.380" AUTO</t>
        </is>
      </c>
      <c r="K150" t="inlineStr">
        <is>
          <t>GLOCK</t>
        </is>
      </c>
      <c r="L150" t="n">
        <v>25</v>
      </c>
      <c r="M150" t="inlineStr">
        <is>
          <t>BFVY996</t>
        </is>
      </c>
      <c r="N150" t="inlineStr">
        <is>
          <t>F 281590</t>
        </is>
      </c>
      <c r="O150" t="n">
        <v>1</v>
      </c>
      <c r="P150" t="n">
        <v>0</v>
      </c>
    </row>
    <row r="151">
      <c r="A151" t="n">
        <v>738</v>
      </c>
      <c r="B151" t="inlineStr">
        <is>
          <t>CALLE 50 No. 531-E x 69 y 71, CENTRO, 97000 MÉRIDA, YUC.</t>
        </is>
      </c>
      <c r="C151" t="inlineStr">
        <is>
          <t>161. AGUSTIN MORENO VILLALOBOS</t>
        </is>
      </c>
      <c r="D151" t="inlineStr">
        <is>
          <t>MOVA910904HCCRLG09</t>
        </is>
      </c>
      <c r="E151">
        <f>E181+1</f>
        <v/>
      </c>
      <c r="F151" t="inlineStr">
        <is>
          <t>CALLE 16 S/N x 19 y 21, CENTRO, CANDELARIA, CAMP. C.P. 24330</t>
        </is>
      </c>
      <c r="G151" t="n">
        <v>9991335899</v>
      </c>
      <c r="H151" t="inlineStr">
        <is>
          <t>galvani@hotmail.com</t>
        </is>
      </c>
      <c r="I151" t="inlineStr">
        <is>
          <t>ESCOPETA</t>
        </is>
      </c>
      <c r="J151" t="inlineStr">
        <is>
          <t>12 ga</t>
        </is>
      </c>
      <c r="K151" t="inlineStr">
        <is>
          <t>FABARM</t>
        </is>
      </c>
      <c r="L151" t="inlineStr">
        <is>
          <t>ELOS</t>
        </is>
      </c>
      <c r="M151" t="inlineStr">
        <is>
          <t>E30257</t>
        </is>
      </c>
      <c r="N151" t="inlineStr">
        <is>
          <t>F 281588</t>
        </is>
      </c>
      <c r="O151" t="n">
        <v>0</v>
      </c>
      <c r="P151" t="n">
        <v>1</v>
      </c>
    </row>
    <row r="152">
      <c r="A152" t="n">
        <v>738</v>
      </c>
      <c r="B152" t="inlineStr">
        <is>
          <t>CALLE 50 No. 531-E x 69 y 71, CENTRO, 97000 MÉRIDA, YUC.</t>
        </is>
      </c>
      <c r="C152" t="inlineStr">
        <is>
          <t>161. AGUSTIN MORENO VILLALOBOS</t>
        </is>
      </c>
      <c r="D152" t="inlineStr">
        <is>
          <t>MOVA910904HCCRLG09</t>
        </is>
      </c>
      <c r="E152">
        <f>E181+1</f>
        <v/>
      </c>
      <c r="F152" t="inlineStr">
        <is>
          <t>CALLE 16 S/N x 19 y 21, CENTRO, CANDELARIA, CAMP. C.P. 24330</t>
        </is>
      </c>
      <c r="G152" t="n">
        <v>9991335899</v>
      </c>
      <c r="H152" t="inlineStr">
        <is>
          <t>galvani@hotmail.com</t>
        </is>
      </c>
      <c r="I152" t="inlineStr">
        <is>
          <t>RIFLE</t>
        </is>
      </c>
      <c r="J152" t="inlineStr">
        <is>
          <t>0.223" REM</t>
        </is>
      </c>
      <c r="K152" t="inlineStr">
        <is>
          <t>SAKO</t>
        </is>
      </c>
      <c r="L152" t="inlineStr">
        <is>
          <t>85 XS</t>
        </is>
      </c>
      <c r="M152" t="inlineStr">
        <is>
          <t>L99245</t>
        </is>
      </c>
      <c r="N152" t="inlineStr">
        <is>
          <t>F 281589</t>
        </is>
      </c>
      <c r="O152" t="n">
        <v>0</v>
      </c>
      <c r="P152" t="n">
        <v>1</v>
      </c>
    </row>
    <row r="153">
      <c r="A153" t="n">
        <v>738</v>
      </c>
      <c r="B153" t="inlineStr">
        <is>
          <t>CALLE 50 No. 531-E x 69 y 71, CENTRO, 97000 MÉRIDA, YUC.</t>
        </is>
      </c>
      <c r="C153" t="inlineStr">
        <is>
          <t>161. AGUSTIN MORENO VILLALOBOS</t>
        </is>
      </c>
      <c r="D153" t="inlineStr">
        <is>
          <t>MOVA910904HCCRLG09</t>
        </is>
      </c>
      <c r="E153">
        <f>E181+1</f>
        <v/>
      </c>
      <c r="F153" t="inlineStr">
        <is>
          <t>CALLE 16 S/N x 19 y 21, CENTRO, CANDELARIA, CAMP. C.P. 24330</t>
        </is>
      </c>
      <c r="G153" t="n">
        <v>9991335899</v>
      </c>
      <c r="H153" t="inlineStr">
        <is>
          <t>galvani@hotmail.com</t>
        </is>
      </c>
      <c r="I153" t="inlineStr">
        <is>
          <t>ESCOPETA</t>
        </is>
      </c>
      <c r="J153" t="inlineStr">
        <is>
          <t>12 GA</t>
        </is>
      </c>
      <c r="K153" t="inlineStr">
        <is>
          <t>REMINGTON</t>
        </is>
      </c>
      <c r="L153" t="n">
        <v>1100</v>
      </c>
      <c r="M153" t="inlineStr">
        <is>
          <t>M916699V</t>
        </is>
      </c>
      <c r="N153" t="inlineStr">
        <is>
          <t>A 3378247</t>
        </is>
      </c>
      <c r="O153" t="n">
        <v>0</v>
      </c>
      <c r="P153" t="n">
        <v>1</v>
      </c>
    </row>
    <row r="154">
      <c r="A154" t="n">
        <v>738</v>
      </c>
      <c r="B154" t="inlineStr">
        <is>
          <t>CALLE 50 No. 531-E x 69 y 71, CENTRO, 97000 MÉRIDA, YUC.</t>
        </is>
      </c>
      <c r="C154" t="inlineStr">
        <is>
          <t>166. RAFAEL RIVAS POLANCO</t>
        </is>
      </c>
      <c r="D154" t="inlineStr">
        <is>
          <t>RIPR580721HYNVLF06</t>
        </is>
      </c>
      <c r="E154">
        <f>E183+1</f>
        <v/>
      </c>
      <c r="F154" t="inlineStr">
        <is>
          <t>CALLE 12 No. 404-C x 15-A y 17 COL. DÍAZ ORDAZ, MÉRIDA, YUC. C.P. 97130</t>
        </is>
      </c>
      <c r="G154" t="n">
        <v>9999477501</v>
      </c>
      <c r="H154" t="inlineStr">
        <is>
          <t>rafael-rivas-p@hotmail.com</t>
        </is>
      </c>
      <c r="I154" t="inlineStr">
        <is>
          <t>PISTOLA</t>
        </is>
      </c>
      <c r="J154" t="inlineStr">
        <is>
          <t>0.380"</t>
        </is>
      </c>
      <c r="K154" t="inlineStr">
        <is>
          <t>SIG-SAUER</t>
        </is>
      </c>
      <c r="L154" t="inlineStr">
        <is>
          <t>P250</t>
        </is>
      </c>
      <c r="M154" t="inlineStr">
        <is>
          <t>57C011822</t>
        </is>
      </c>
      <c r="N154" t="inlineStr">
        <is>
          <t>A 3421901</t>
        </is>
      </c>
      <c r="O154" t="n">
        <v>1</v>
      </c>
      <c r="P154" t="n">
        <v>0</v>
      </c>
    </row>
    <row r="155">
      <c r="A155" t="n">
        <v>738</v>
      </c>
      <c r="B155" t="inlineStr">
        <is>
          <t>CALLE 50 No. 531-E x 69 y 71, CENTRO, 97000 MÉRIDA, YUC.</t>
        </is>
      </c>
      <c r="C155" t="inlineStr">
        <is>
          <t>166. RAFAEL RIVAS POLANCO</t>
        </is>
      </c>
      <c r="D155" t="inlineStr">
        <is>
          <t>RIPR580721HYNVLF06</t>
        </is>
      </c>
      <c r="E155">
        <f>E183+1</f>
        <v/>
      </c>
      <c r="F155" t="inlineStr">
        <is>
          <t>CALLE 12 No. 404-C x 15-A y 17 COL. DÍAZ ORDAZ, MÉRIDA, YUC. C.P. 97130</t>
        </is>
      </c>
      <c r="G155" t="n">
        <v>9999477501</v>
      </c>
      <c r="H155" t="inlineStr">
        <is>
          <t>rafael-rivas-p@hotmail.com</t>
        </is>
      </c>
      <c r="I155" t="inlineStr">
        <is>
          <t>RIFLE</t>
        </is>
      </c>
      <c r="J155" t="inlineStr">
        <is>
          <t>.223" REM</t>
        </is>
      </c>
      <c r="K155" t="inlineStr">
        <is>
          <t>BENELLI</t>
        </is>
      </c>
      <c r="L155" t="inlineStr">
        <is>
          <t>MR1</t>
        </is>
      </c>
      <c r="M155" t="inlineStr">
        <is>
          <t>BC008951L</t>
        </is>
      </c>
      <c r="N155" t="inlineStr">
        <is>
          <t>B 519591</t>
        </is>
      </c>
      <c r="O155" t="n">
        <v>0</v>
      </c>
      <c r="P155" t="n">
        <v>1</v>
      </c>
    </row>
    <row r="156">
      <c r="A156" t="n">
        <v>738</v>
      </c>
      <c r="B156" t="inlineStr">
        <is>
          <t>CALLE 50 No. 531-E x 69 y 71, CENTRO, 97000 MÉRIDA, YUC.</t>
        </is>
      </c>
      <c r="C156" t="inlineStr">
        <is>
          <t>166. RAFAEL RIVAS POLANCO</t>
        </is>
      </c>
      <c r="D156" t="inlineStr">
        <is>
          <t>RIPR580721HYNVLF06</t>
        </is>
      </c>
      <c r="E156">
        <f>E183+1</f>
        <v/>
      </c>
      <c r="F156" t="inlineStr">
        <is>
          <t>CALLE 12 No. 404-C x 15-A y 17 COL. DÍAZ ORDAZ, MÉRIDA, YUC. C.P. 97130</t>
        </is>
      </c>
      <c r="G156" t="n">
        <v>9999477501</v>
      </c>
      <c r="H156" t="inlineStr">
        <is>
          <t>rafael-rivas-p@hotmail.com</t>
        </is>
      </c>
      <c r="I156" t="inlineStr">
        <is>
          <t>PISTOLA</t>
        </is>
      </c>
      <c r="J156" t="inlineStr">
        <is>
          <t>.380" AUTO</t>
        </is>
      </c>
      <c r="K156" t="inlineStr">
        <is>
          <t>GLOCK</t>
        </is>
      </c>
      <c r="L156" t="n">
        <v>42</v>
      </c>
      <c r="M156" t="inlineStr">
        <is>
          <t>BAYP076</t>
        </is>
      </c>
      <c r="N156" t="inlineStr">
        <is>
          <t>B 532869</t>
        </is>
      </c>
      <c r="O156" t="n">
        <v>1</v>
      </c>
      <c r="P156" t="n">
        <v>0</v>
      </c>
    </row>
    <row r="157">
      <c r="A157" t="n">
        <v>738</v>
      </c>
      <c r="B157" t="inlineStr">
        <is>
          <t>CALLE 50 No. 531-E x 69 y 71, CENTRO, 97000 MÉRIDA, YUC.</t>
        </is>
      </c>
      <c r="C157" t="inlineStr">
        <is>
          <t>166. RAFAEL RIVAS POLANCO</t>
        </is>
      </c>
      <c r="D157" t="inlineStr">
        <is>
          <t>RIPR580721HYNVLF06</t>
        </is>
      </c>
      <c r="E157">
        <f>E183+1</f>
        <v/>
      </c>
      <c r="F157" t="inlineStr">
        <is>
          <t>CALLE 12 No. 404-C x 15-A y 17 COL. DÍAZ ORDAZ, MÉRIDA, YUC. C.P. 97130</t>
        </is>
      </c>
      <c r="G157" t="n">
        <v>9999477501</v>
      </c>
      <c r="H157" t="inlineStr">
        <is>
          <t>rafael-rivas-p@hotmail.com</t>
        </is>
      </c>
      <c r="I157" t="inlineStr">
        <is>
          <t>RIFLE</t>
        </is>
      </c>
      <c r="J157" t="inlineStr">
        <is>
          <t>0.22" L.R.</t>
        </is>
      </c>
      <c r="K157" t="inlineStr">
        <is>
          <t>COLT</t>
        </is>
      </c>
      <c r="L157" t="inlineStr">
        <is>
          <t>M4</t>
        </is>
      </c>
      <c r="M157" t="inlineStr">
        <is>
          <t>BP052013</t>
        </is>
      </c>
      <c r="N157" t="inlineStr">
        <is>
          <t>B 519592</t>
        </is>
      </c>
      <c r="O157" t="n">
        <v>0</v>
      </c>
      <c r="P157" t="n">
        <v>1</v>
      </c>
    </row>
    <row r="158">
      <c r="A158" t="n">
        <v>738</v>
      </c>
      <c r="B158" t="inlineStr">
        <is>
          <t>CALLE 50 No. 531-E x 69 y 71, CENTRO, 97000 MÉRIDA, YUC.</t>
        </is>
      </c>
      <c r="C158" t="inlineStr">
        <is>
          <t>167. ALEJANDRA GEORGINA PINTADO VILLAFAÑA</t>
        </is>
      </c>
      <c r="D158" t="inlineStr">
        <is>
          <t>PIVA591215MDFNLL09</t>
        </is>
      </c>
      <c r="E158">
        <f>E188+1</f>
        <v/>
      </c>
      <c r="F158" t="inlineStr">
        <is>
          <t>CALLE 12 No. 404-C x 15-A y 17 COL. DÍAZ ORDAZ, MÉRIDA, YUC. C.P. 97130</t>
        </is>
      </c>
      <c r="G158" t="n">
        <v>9999479199</v>
      </c>
      <c r="H158" t="inlineStr">
        <is>
          <t>alejandrapintado@yahoo.com.mx</t>
        </is>
      </c>
      <c r="I158" t="inlineStr">
        <is>
          <t>PISTOLA</t>
        </is>
      </c>
      <c r="J158" t="inlineStr">
        <is>
          <t>0.380"</t>
        </is>
      </c>
      <c r="K158" t="inlineStr">
        <is>
          <t>SIG-SAUER</t>
        </is>
      </c>
      <c r="L158" t="inlineStr">
        <is>
          <t>P250</t>
        </is>
      </c>
      <c r="M158" t="inlineStr">
        <is>
          <t>57C011945</t>
        </is>
      </c>
      <c r="N158" t="inlineStr">
        <is>
          <t>A 3421902</t>
        </is>
      </c>
      <c r="O158" t="n">
        <v>1</v>
      </c>
      <c r="P158" t="n">
        <v>0</v>
      </c>
    </row>
    <row r="159">
      <c r="A159" t="n">
        <v>738</v>
      </c>
      <c r="B159" t="inlineStr">
        <is>
          <t>CALLE 50 No. 531-E x 69 y 71, CENTRO, 97000 MÉRIDA, YUC.</t>
        </is>
      </c>
      <c r="C159" t="inlineStr">
        <is>
          <t>178. ANTONIO RAMÓN SANTA CRUZ POLANCO CABRALES</t>
        </is>
      </c>
      <c r="D159" t="inlineStr">
        <is>
          <t>SACA740719HDFNBN03</t>
        </is>
      </c>
      <c r="E159">
        <f>E193+1</f>
        <v/>
      </c>
      <c r="F159" t="inlineStr">
        <is>
          <t>CALLE 28 No. 168-A x 21-A y 21-B, FRACC. SAN PEDRO CHOLUL, MÉRIDA, YUC. C.P. 97138</t>
        </is>
      </c>
      <c r="G159" t="n">
        <v>9992243874</v>
      </c>
      <c r="H159" t="inlineStr">
        <is>
          <t>tonysantacruz@hotmail.com</t>
        </is>
      </c>
      <c r="I159" t="inlineStr">
        <is>
          <t>ESCOPETA</t>
        </is>
      </c>
      <c r="J159" t="inlineStr">
        <is>
          <t>16 GA</t>
        </is>
      </c>
      <c r="K159" t="inlineStr">
        <is>
          <t>WINCHESTER</t>
        </is>
      </c>
      <c r="L159" t="inlineStr">
        <is>
          <t>12</t>
        </is>
      </c>
      <c r="M159" t="n">
        <v>458878</v>
      </c>
      <c r="N159" t="inlineStr">
        <is>
          <t>A 3607663</t>
        </is>
      </c>
      <c r="O159" t="n">
        <v>0</v>
      </c>
      <c r="P159" t="n">
        <v>1</v>
      </c>
    </row>
    <row r="160">
      <c r="A160" t="n">
        <v>738</v>
      </c>
      <c r="B160" t="inlineStr">
        <is>
          <t>CALLE 50 No. 531-E x 69 y 71, CENTRO, 97000 MÉRIDA, YUC.</t>
        </is>
      </c>
      <c r="C160" t="inlineStr">
        <is>
          <t>179. MARCO ANTONIO SANTA CRUZ POLANCO CORDOVA</t>
        </is>
      </c>
      <c r="D160" t="inlineStr">
        <is>
          <t>SACM001023HYNNRRA7</t>
        </is>
      </c>
      <c r="E160">
        <f>E195+1</f>
        <v/>
      </c>
      <c r="F160" t="inlineStr">
        <is>
          <t>CALLE 28 No. 168-A x 21-A y 21-B, FRACC. SAN PEDRO CHOLUL, MÉRIDA, YUC. C.P. 97138</t>
        </is>
      </c>
      <c r="G160" t="n">
        <v>9992978103</v>
      </c>
      <c r="H160" t="inlineStr">
        <is>
          <t>marcotonyjr@hotmail.com</t>
        </is>
      </c>
      <c r="I160" t="inlineStr">
        <is>
          <t>PISTOLA</t>
        </is>
      </c>
      <c r="J160" t="inlineStr">
        <is>
          <t>.380"</t>
        </is>
      </c>
      <c r="K160" t="inlineStr">
        <is>
          <t>TANFOGLIO</t>
        </is>
      </c>
      <c r="L160" t="inlineStr">
        <is>
          <t>GT 380</t>
        </is>
      </c>
      <c r="M160" t="n">
        <v>127112</v>
      </c>
      <c r="N160" t="inlineStr">
        <is>
          <t>B 532022</t>
        </is>
      </c>
      <c r="O160" t="n">
        <v>1</v>
      </c>
      <c r="P160" t="n">
        <v>0</v>
      </c>
    </row>
    <row r="161">
      <c r="A161" t="n">
        <v>738</v>
      </c>
      <c r="B161" t="inlineStr">
        <is>
          <t>CALLE 50 No. 531-E x 69 y 71, CENTRO, 97000 MÉRIDA, YUC.</t>
        </is>
      </c>
      <c r="C161" t="inlineStr">
        <is>
          <t>181. CHAFI XACUR RIVERA</t>
        </is>
      </c>
      <c r="D161" t="inlineStr">
        <is>
          <t>XACR701106HYNCVH07</t>
        </is>
      </c>
      <c r="E161">
        <f>E197+1</f>
        <v/>
      </c>
      <c r="F161" t="inlineStr">
        <is>
          <t>C. 19-B No. 602 x 88, FRACC. ALGARROBOS, MÉRIDA, YUC. C.P. 97300</t>
        </is>
      </c>
      <c r="G161" t="n">
        <v>9999477957</v>
      </c>
      <c r="H161" t="inlineStr">
        <is>
          <t>chafi70@hotmail.com</t>
        </is>
      </c>
      <c r="I161" t="inlineStr">
        <is>
          <t>PISTOLA</t>
        </is>
      </c>
      <c r="J161" t="inlineStr">
        <is>
          <t>.380" ACP</t>
        </is>
      </c>
      <c r="K161" t="inlineStr">
        <is>
          <t>GLOCK</t>
        </is>
      </c>
      <c r="L161" t="inlineStr">
        <is>
          <t>25</t>
        </is>
      </c>
      <c r="M161" t="inlineStr">
        <is>
          <t>BAYL030</t>
        </is>
      </c>
      <c r="N161" t="inlineStr">
        <is>
          <t>F 257308</t>
        </is>
      </c>
      <c r="O161" t="n">
        <v>1</v>
      </c>
      <c r="P161" t="n">
        <v>0</v>
      </c>
    </row>
    <row r="162">
      <c r="A162" t="n">
        <v>738</v>
      </c>
      <c r="B162" t="inlineStr">
        <is>
          <t>CALLE 50 No. 531-E x 69 y 71, CENTRO, 97000 MÉRIDA, YUC.</t>
        </is>
      </c>
      <c r="C162" t="inlineStr">
        <is>
          <t>182. JUAN CARLOS MAÑE ORTIZ</t>
        </is>
      </c>
      <c r="D162" t="inlineStr">
        <is>
          <t>MAOJ741116HYNXRN02</t>
        </is>
      </c>
      <c r="E162">
        <f>E199+1</f>
        <v/>
      </c>
      <c r="F162" t="inlineStr">
        <is>
          <t>C. 59 No. 142 x 22, FRACC. VILLAS DE CONKAL, COL. CENTRO, CONKAL, YUC. C.P. 97135</t>
        </is>
      </c>
      <c r="G162" t="n">
        <v>9991229424</v>
      </c>
      <c r="H162" t="inlineStr">
        <is>
          <t>jcmaneo@hotmail.com</t>
        </is>
      </c>
      <c r="I162" t="inlineStr">
        <is>
          <t>ESCOPETA</t>
        </is>
      </c>
      <c r="J162" t="inlineStr">
        <is>
          <t>12 ga</t>
        </is>
      </c>
      <c r="K162" t="inlineStr">
        <is>
          <t>ATA ARMS</t>
        </is>
      </c>
      <c r="L162" t="inlineStr">
        <is>
          <t>CY</t>
        </is>
      </c>
      <c r="M162" t="inlineStr">
        <is>
          <t>18/D01314</t>
        </is>
      </c>
      <c r="N162" t="inlineStr">
        <is>
          <t>F 291368</t>
        </is>
      </c>
      <c r="O162" t="n">
        <v>0</v>
      </c>
      <c r="P162" t="n">
        <v>1</v>
      </c>
    </row>
    <row r="163">
      <c r="A163" t="n">
        <v>738</v>
      </c>
      <c r="B163" t="inlineStr">
        <is>
          <t>CALLE 50 No. 531-E x 69 y 71, CENTRO, 97000 MÉRIDA, YUC.</t>
        </is>
      </c>
      <c r="C163" t="inlineStr">
        <is>
          <t>182. JUAN CARLOS MAÑE ORTIZ</t>
        </is>
      </c>
      <c r="D163" t="inlineStr">
        <is>
          <t>MAOJ741116HYNXRN02</t>
        </is>
      </c>
      <c r="E163">
        <f>E199+1</f>
        <v/>
      </c>
      <c r="F163" t="inlineStr">
        <is>
          <t>C. 59 No. 142 x 22, FRACC. VILLAS DE CONKAL, COL. CENTRO, CONKAL, YUC. C.P. 97135</t>
        </is>
      </c>
      <c r="G163" t="n">
        <v>9991229424</v>
      </c>
      <c r="H163" t="inlineStr">
        <is>
          <t>jcmaneo@hotmail.com</t>
        </is>
      </c>
      <c r="I163" t="inlineStr">
        <is>
          <t>PISTOLA</t>
        </is>
      </c>
      <c r="J163" t="inlineStr">
        <is>
          <t>380 AUTO</t>
        </is>
      </c>
      <c r="K163" t="inlineStr">
        <is>
          <t>DIAMONDBACK FIREARMS</t>
        </is>
      </c>
      <c r="L163" t="inlineStr">
        <is>
          <t>DB380</t>
        </is>
      </c>
      <c r="M163" t="inlineStr">
        <is>
          <t>ZL6575</t>
        </is>
      </c>
      <c r="N163" t="inlineStr">
        <is>
          <t>A 3569256</t>
        </is>
      </c>
      <c r="O163" t="n">
        <v>1</v>
      </c>
      <c r="P163" t="n">
        <v>0</v>
      </c>
    </row>
    <row r="164">
      <c r="A164" t="n">
        <v>738</v>
      </c>
      <c r="B164" t="inlineStr">
        <is>
          <t>CALLE 50 No. 531-E x 69 y 71, CENTRO, 97000 MÉRIDA, YUC.</t>
        </is>
      </c>
      <c r="C164" t="inlineStr">
        <is>
          <t>182. JUAN CARLOS MAÑE ORTIZ</t>
        </is>
      </c>
      <c r="D164" t="inlineStr">
        <is>
          <t>MAOJ741116HYNXRN02</t>
        </is>
      </c>
      <c r="E164">
        <f>E199+1</f>
        <v/>
      </c>
      <c r="F164" t="inlineStr">
        <is>
          <t>C. 59 No. 142 x 22, FRACC. VILLAS DE CONKAL, COL. CENTRO, CONKAL, YUC. C.P. 97135</t>
        </is>
      </c>
      <c r="G164" t="n">
        <v>9991229424</v>
      </c>
      <c r="H164" t="inlineStr">
        <is>
          <t>jcmaneo@hotmail.com</t>
        </is>
      </c>
      <c r="I164" t="inlineStr">
        <is>
          <t>PISTOLA</t>
        </is>
      </c>
      <c r="J164" t="inlineStr">
        <is>
          <t>.380"</t>
        </is>
      </c>
      <c r="K164" t="inlineStr">
        <is>
          <t>GLOCK</t>
        </is>
      </c>
      <c r="L164" t="inlineStr">
        <is>
          <t>42</t>
        </is>
      </c>
      <c r="M164" t="inlineStr">
        <is>
          <t>BAMH608</t>
        </is>
      </c>
      <c r="N164" t="inlineStr">
        <is>
          <t>B 569404</t>
        </is>
      </c>
      <c r="O164" t="n">
        <v>1</v>
      </c>
      <c r="P164" t="n">
        <v>0</v>
      </c>
    </row>
    <row r="165">
      <c r="A165" t="n">
        <v>738</v>
      </c>
      <c r="B165" t="inlineStr">
        <is>
          <t>CALLE 50 No. 531-E x 69 y 71, CENTRO, 97000 MÉRIDA, YUC.</t>
        </is>
      </c>
      <c r="C165" t="inlineStr">
        <is>
          <t>182. JUAN CARLOS MAÑE ORTIZ</t>
        </is>
      </c>
      <c r="D165" t="inlineStr">
        <is>
          <t>MAOJ741116HYNXRN02</t>
        </is>
      </c>
      <c r="E165">
        <f>E199+1</f>
        <v/>
      </c>
      <c r="F165" t="inlineStr">
        <is>
          <t>C. 59 No. 142 x 22, FRACC. VILLAS DE CONKAL, COL. CENTRO, CONKAL, YUC. C.P. 97135</t>
        </is>
      </c>
      <c r="G165" t="n">
        <v>9991229424</v>
      </c>
      <c r="H165" t="inlineStr">
        <is>
          <t>jcmaneo@hotmail.com</t>
        </is>
      </c>
      <c r="I165" t="inlineStr">
        <is>
          <t>PISTOLA</t>
        </is>
      </c>
      <c r="J165" t="inlineStr">
        <is>
          <t>0.380"</t>
        </is>
      </c>
      <c r="K165" t="inlineStr">
        <is>
          <t>GLOCK</t>
        </is>
      </c>
      <c r="L165" t="inlineStr">
        <is>
          <t>25</t>
        </is>
      </c>
      <c r="M165" t="inlineStr">
        <is>
          <t>BAME106</t>
        </is>
      </c>
      <c r="N165" t="inlineStr">
        <is>
          <t>F 240795</t>
        </is>
      </c>
      <c r="O165" t="n">
        <v>1</v>
      </c>
      <c r="P165" t="n">
        <v>0</v>
      </c>
    </row>
    <row r="166">
      <c r="A166" t="n">
        <v>738</v>
      </c>
      <c r="B166" t="inlineStr">
        <is>
          <t>CALLE 50 No. 531-E x 69 y 71, CENTRO, 97000 MÉRIDA, YUC.</t>
        </is>
      </c>
      <c r="C166" t="inlineStr">
        <is>
          <t>182. JUAN CARLOS MAÑE ORTIZ</t>
        </is>
      </c>
      <c r="D166" t="inlineStr">
        <is>
          <t>MAOJ741116HYNXRN02</t>
        </is>
      </c>
      <c r="E166">
        <f>E199+1</f>
        <v/>
      </c>
      <c r="F166" t="inlineStr">
        <is>
          <t>C. 59 No. 142 x 22, FRACC. VILLAS DE CONKAL, COL. CENTRO, CONKAL, YUC. C.P. 97135</t>
        </is>
      </c>
      <c r="G166" t="n">
        <v>9991229424</v>
      </c>
      <c r="H166" t="inlineStr">
        <is>
          <t>jcmaneo@hotmail.com</t>
        </is>
      </c>
      <c r="I166" t="inlineStr">
        <is>
          <t>PISTOLA</t>
        </is>
      </c>
      <c r="J166" t="inlineStr">
        <is>
          <t>.380" AUTO</t>
        </is>
      </c>
      <c r="K166" t="inlineStr">
        <is>
          <t>GLOCK</t>
        </is>
      </c>
      <c r="L166" t="inlineStr">
        <is>
          <t>25</t>
        </is>
      </c>
      <c r="M166" t="inlineStr">
        <is>
          <t>BFWB011</t>
        </is>
      </c>
      <c r="N166" t="inlineStr">
        <is>
          <t>A 3606621</t>
        </is>
      </c>
      <c r="O166" t="n">
        <v>1</v>
      </c>
      <c r="P166" t="n">
        <v>0</v>
      </c>
    </row>
    <row r="167">
      <c r="A167" t="n">
        <v>738</v>
      </c>
      <c r="B167" t="inlineStr">
        <is>
          <t>CALLE 50 No. 531-E x 69 y 71, CENTRO, 97000 MÉRIDA, YUC.</t>
        </is>
      </c>
      <c r="C167" t="inlineStr">
        <is>
          <t>182. JUAN CARLOS MAÑE ORTIZ</t>
        </is>
      </c>
      <c r="D167" t="inlineStr">
        <is>
          <t>MAOJ741116HYNXRN02</t>
        </is>
      </c>
      <c r="E167">
        <f>E199+1</f>
        <v/>
      </c>
      <c r="F167" t="inlineStr">
        <is>
          <t>C. 59 No. 142 x 22, FRACC. VILLAS DE CONKAL, COL. CENTRO, CONKAL, YUC. C.P. 97135</t>
        </is>
      </c>
      <c r="G167" t="n">
        <v>9991229424</v>
      </c>
      <c r="H167" t="inlineStr">
        <is>
          <t>jcmaneo@hotmail.com</t>
        </is>
      </c>
      <c r="I167" t="inlineStr">
        <is>
          <t>PISTOLA</t>
        </is>
      </c>
      <c r="J167" t="inlineStr">
        <is>
          <t>.380"</t>
        </is>
      </c>
      <c r="K167" t="inlineStr">
        <is>
          <t>GLOCK</t>
        </is>
      </c>
      <c r="L167" t="inlineStr">
        <is>
          <t>25</t>
        </is>
      </c>
      <c r="M167" t="inlineStr">
        <is>
          <t>YAB319</t>
        </is>
      </c>
      <c r="N167" t="inlineStr">
        <is>
          <t>A 3606624</t>
        </is>
      </c>
      <c r="O167" t="n">
        <v>1</v>
      </c>
      <c r="P167" t="n">
        <v>0</v>
      </c>
    </row>
    <row r="168">
      <c r="A168" t="n">
        <v>738</v>
      </c>
      <c r="B168" t="inlineStr">
        <is>
          <t>CALLE 50 No. 531-E x 69 y 71, CENTRO, 97000 MÉRIDA, YUC.</t>
        </is>
      </c>
      <c r="C168" t="inlineStr">
        <is>
          <t>182. JUAN CARLOS MAÑE ORTIZ</t>
        </is>
      </c>
      <c r="D168" t="inlineStr">
        <is>
          <t>MAOJ741116HYNXRN02</t>
        </is>
      </c>
      <c r="E168">
        <f>E199+1</f>
        <v/>
      </c>
      <c r="F168" t="inlineStr">
        <is>
          <t>C. 59 No. 142 x 22, FRACC. VILLAS DE CONKAL, COL. CENTRO, CONKAL, YUC. C.P. 97135</t>
        </is>
      </c>
      <c r="G168" t="n">
        <v>9991229424</v>
      </c>
      <c r="H168" t="inlineStr">
        <is>
          <t>jcmaneo@hotmail.com</t>
        </is>
      </c>
      <c r="I168" t="inlineStr">
        <is>
          <t>PISTOLA</t>
        </is>
      </c>
      <c r="J168" t="inlineStr">
        <is>
          <t>0.22" L.R.</t>
        </is>
      </c>
      <c r="K168" t="inlineStr">
        <is>
          <t>CESKA ZBROJOVKA</t>
        </is>
      </c>
      <c r="L168" t="inlineStr">
        <is>
          <t>CZ P-09</t>
        </is>
      </c>
      <c r="M168" t="inlineStr">
        <is>
          <t>AD02968</t>
        </is>
      </c>
      <c r="N168" t="inlineStr">
        <is>
          <t>B570891</t>
        </is>
      </c>
      <c r="O168" t="n">
        <v>1</v>
      </c>
      <c r="P168" t="n">
        <v>0</v>
      </c>
    </row>
    <row r="169">
      <c r="A169" t="n">
        <v>738</v>
      </c>
      <c r="B169" t="inlineStr">
        <is>
          <t>CALLE 50 No. 531-E x 69 y 71, CENTRO, 97000 MÉRIDA, YUC.</t>
        </is>
      </c>
      <c r="C169" t="inlineStr">
        <is>
          <t>183. CELESTINO SÁNCHEZ FERNÁNDEZ</t>
        </is>
      </c>
      <c r="D169" t="inlineStr">
        <is>
          <t>SAFC680731HDFNRL07</t>
        </is>
      </c>
      <c r="E169">
        <f>E201+1</f>
        <v/>
      </c>
      <c r="F169" t="inlineStr">
        <is>
          <t>CALLE 20 No. 11399 x 29 y 29-B, SAN JOSE CHOLUL, MÉRIDA, YUC. C.P. 97305</t>
        </is>
      </c>
      <c r="G169" t="n">
        <v>9992403110</v>
      </c>
      <c r="H169" t="inlineStr">
        <is>
          <t>tinosanchezf@yahoo.com.mx</t>
        </is>
      </c>
      <c r="I169" t="inlineStr">
        <is>
          <t>ESCOPETA</t>
        </is>
      </c>
      <c r="J169" t="inlineStr">
        <is>
          <t>12 GA</t>
        </is>
      </c>
      <c r="K169" t="inlineStr">
        <is>
          <t>WINCHESTER</t>
        </is>
      </c>
      <c r="L169" t="inlineStr">
        <is>
          <t>1200</t>
        </is>
      </c>
      <c r="M169" t="inlineStr">
        <is>
          <t>L1282444</t>
        </is>
      </c>
      <c r="N169" t="inlineStr">
        <is>
          <t>A 3609230</t>
        </is>
      </c>
      <c r="O169" t="n">
        <v>0</v>
      </c>
      <c r="P169" t="n">
        <v>1</v>
      </c>
    </row>
    <row r="170">
      <c r="A170" t="n">
        <v>738</v>
      </c>
      <c r="B170" t="inlineStr">
        <is>
          <t>CALLE 50 No. 531-E x 69 y 71, CENTRO, 97000 MÉRIDA, YUC.</t>
        </is>
      </c>
      <c r="C170" t="inlineStr">
        <is>
          <t>186. EDUARDO DENIS HERRERA</t>
        </is>
      </c>
      <c r="D170" t="inlineStr">
        <is>
          <t>DEHE890423HDFNRD03</t>
        </is>
      </c>
      <c r="E170">
        <f>E209+1</f>
        <v/>
      </c>
      <c r="F170" t="inlineStr">
        <is>
          <t>CALLE 23-A x 16 y 18 No. 220, COL. SAN MIGUEL, MÉRIDA, YUC. C.P. 97140</t>
        </is>
      </c>
      <c r="G170" t="n">
        <v>5520869685</v>
      </c>
      <c r="H170" t="inlineStr">
        <is>
          <t>lalodenis23@hotmail.com</t>
        </is>
      </c>
      <c r="I170" t="inlineStr">
        <is>
          <t>ESCOPETA</t>
        </is>
      </c>
      <c r="J170" t="inlineStr">
        <is>
          <t>12 GA</t>
        </is>
      </c>
      <c r="K170" t="inlineStr">
        <is>
          <t>MOSSBERG</t>
        </is>
      </c>
      <c r="L170" t="inlineStr">
        <is>
          <t>590</t>
        </is>
      </c>
      <c r="M170" t="inlineStr">
        <is>
          <t>P685176</t>
        </is>
      </c>
      <c r="N170" t="inlineStr">
        <is>
          <t>B587695</t>
        </is>
      </c>
      <c r="O170" t="n">
        <v>0</v>
      </c>
      <c r="P170" t="n">
        <v>1</v>
      </c>
    </row>
    <row r="171">
      <c r="A171" t="n">
        <v>738</v>
      </c>
      <c r="B171" t="inlineStr">
        <is>
          <t>CALLE 50 No. 531-E x 69 y 71, CENTRO, 97000 MÉRIDA, YUC.</t>
        </is>
      </c>
      <c r="C171" t="inlineStr">
        <is>
          <t>186. EDUARDO DENIS HERRERA</t>
        </is>
      </c>
      <c r="D171" t="inlineStr">
        <is>
          <t>DEHE890423HDFNRD03</t>
        </is>
      </c>
      <c r="E171">
        <f>E209+1</f>
        <v/>
      </c>
      <c r="F171" t="inlineStr">
        <is>
          <t>CALLE 23-A x 16 y 18 No. 220, COL. SAN MIGUEL, MÉRIDA, YUC. C.P. 97140</t>
        </is>
      </c>
      <c r="G171" t="n">
        <v>5520869685</v>
      </c>
      <c r="H171" t="inlineStr">
        <is>
          <t>lalodenis23@hotmail.com</t>
        </is>
      </c>
      <c r="I171" t="inlineStr">
        <is>
          <t>RIFLE</t>
        </is>
      </c>
      <c r="J171" t="inlineStr">
        <is>
          <t>.22" L.R.</t>
        </is>
      </c>
      <c r="K171" t="inlineStr">
        <is>
          <t>MENDOZA</t>
        </is>
      </c>
      <c r="L171" t="inlineStr">
        <is>
          <t>PUMA</t>
        </is>
      </c>
      <c r="M171" t="n">
        <v>16050</v>
      </c>
      <c r="N171" t="inlineStr">
        <is>
          <t>B 570391</t>
        </is>
      </c>
      <c r="O171" t="n">
        <v>0</v>
      </c>
      <c r="P171" t="n">
        <v>1</v>
      </c>
    </row>
    <row r="172">
      <c r="A172" t="n">
        <v>738</v>
      </c>
      <c r="B172" t="inlineStr">
        <is>
          <t>CALLE 50 No. 531-E x 69 y 71, CENTRO, 97000 MÉRIDA, YUC.</t>
        </is>
      </c>
      <c r="C172" t="inlineStr">
        <is>
          <t>186. EDUARDO DENIS HERRERA</t>
        </is>
      </c>
      <c r="D172" t="inlineStr">
        <is>
          <t>DEHE890423HDFNRD03</t>
        </is>
      </c>
      <c r="E172">
        <f>E209+1</f>
        <v/>
      </c>
      <c r="F172" t="inlineStr">
        <is>
          <t>CALLE 23-A x 16 y 18 No. 220, COL. SAN MIGUEL, MÉRIDA, YUC. C.P. 97140</t>
        </is>
      </c>
      <c r="G172" t="n">
        <v>5520869685</v>
      </c>
      <c r="H172" t="inlineStr">
        <is>
          <t>lalodenis23@hotmail.com</t>
        </is>
      </c>
      <c r="I172" t="inlineStr">
        <is>
          <t xml:space="preserve">RIFLE </t>
        </is>
      </c>
      <c r="J172" t="inlineStr">
        <is>
          <t>22/223</t>
        </is>
      </c>
      <c r="K172" t="inlineStr">
        <is>
          <t>DIAMONDBACK</t>
        </is>
      </c>
      <c r="L172" t="inlineStr">
        <is>
          <t>DB-15</t>
        </is>
      </c>
      <c r="M172" t="inlineStr">
        <is>
          <t>DB2198860</t>
        </is>
      </c>
      <c r="N172" t="inlineStr">
        <is>
          <t>A3808469</t>
        </is>
      </c>
      <c r="O172" t="n">
        <v>0</v>
      </c>
      <c r="P172" t="n">
        <v>1</v>
      </c>
    </row>
    <row r="173">
      <c r="A173" t="n">
        <v>738</v>
      </c>
      <c r="B173" t="inlineStr">
        <is>
          <t>CALLE 50 No. 531-E x 69 y 71, CENTRO, 97000 MÉRIDA, YUC.</t>
        </is>
      </c>
      <c r="C173" t="inlineStr">
        <is>
          <t>186. EDUARDO DENIS HERRERA</t>
        </is>
      </c>
      <c r="D173" t="inlineStr">
        <is>
          <t>DEHE890423HDFNRD03</t>
        </is>
      </c>
      <c r="E173">
        <f>E209+1</f>
        <v/>
      </c>
      <c r="F173" t="inlineStr">
        <is>
          <t>CALLE 23-A x 16 y 18 No. 220, COL. SAN MIGUEL, MÉRIDA, YUC. C.P. 97140</t>
        </is>
      </c>
      <c r="G173" t="n">
        <v>5520869685</v>
      </c>
      <c r="H173" t="inlineStr">
        <is>
          <t>lalodenis23@hotmail.com</t>
        </is>
      </c>
      <c r="I173" t="inlineStr">
        <is>
          <t>PISTOLA</t>
        </is>
      </c>
      <c r="J173" t="inlineStr">
        <is>
          <t>.22"</t>
        </is>
      </c>
      <c r="K173" t="inlineStr">
        <is>
          <t>COLT</t>
        </is>
      </c>
      <c r="L173" t="inlineStr">
        <is>
          <t>1911</t>
        </is>
      </c>
      <c r="M173" t="inlineStr">
        <is>
          <t>08996N70</t>
        </is>
      </c>
      <c r="N173" t="inlineStr">
        <is>
          <t>B570810</t>
        </is>
      </c>
      <c r="O173" t="n">
        <v>1</v>
      </c>
      <c r="P173" t="n">
        <v>0</v>
      </c>
    </row>
    <row r="174">
      <c r="A174" t="n">
        <v>738</v>
      </c>
      <c r="B174" t="inlineStr">
        <is>
          <t>CALLE 50 No. 531-E x 69 y 71, CENTRO, 97000 MÉRIDA, YUC.</t>
        </is>
      </c>
      <c r="C174" t="inlineStr">
        <is>
          <t>186. EDUARDO DENIS HERRERA</t>
        </is>
      </c>
      <c r="D174" t="inlineStr">
        <is>
          <t>DEHE890423HDFNRD03</t>
        </is>
      </c>
      <c r="E174">
        <f>E209+1</f>
        <v/>
      </c>
      <c r="F174" t="inlineStr">
        <is>
          <t>CALLE 23-A x 16 y 18 No. 220, COL. SAN MIGUEL, MÉRIDA, YUC. C.P. 97140</t>
        </is>
      </c>
      <c r="G174" t="n">
        <v>5520869685</v>
      </c>
      <c r="H174" t="inlineStr">
        <is>
          <t>lalodenis23@hotmail.com</t>
        </is>
      </c>
      <c r="I174" t="inlineStr">
        <is>
          <t>PISTOLA</t>
        </is>
      </c>
      <c r="J174" t="inlineStr">
        <is>
          <t>.22" L.R.</t>
        </is>
      </c>
      <c r="K174" t="inlineStr">
        <is>
          <t>SIG SAUER</t>
        </is>
      </c>
      <c r="L174" t="inlineStr">
        <is>
          <t>P322</t>
        </is>
      </c>
      <c r="M174" t="inlineStr">
        <is>
          <t>73A056618</t>
        </is>
      </c>
      <c r="N174" t="inlineStr">
        <is>
          <t>A3807823</t>
        </is>
      </c>
      <c r="O174" t="n">
        <v>1</v>
      </c>
      <c r="P174" t="n">
        <v>0</v>
      </c>
    </row>
    <row r="175">
      <c r="A175" t="n">
        <v>738</v>
      </c>
      <c r="B175" t="inlineStr">
        <is>
          <t>CALLE 50 No. 531-E x 69 y 71, CENTRO, 97000 MÉRIDA, YUC.</t>
        </is>
      </c>
      <c r="C175" t="inlineStr">
        <is>
          <t>186. EDUARDO DENIS HERRERA</t>
        </is>
      </c>
      <c r="D175" t="inlineStr">
        <is>
          <t>DEHE890423HDFNRD03</t>
        </is>
      </c>
      <c r="E175">
        <f>E209+1</f>
        <v/>
      </c>
      <c r="F175" t="inlineStr">
        <is>
          <t>CALLE 23-A x 16 y 18 No. 220, COL. SAN MIGUEL, MÉRIDA, YUC. C.P. 97140</t>
        </is>
      </c>
      <c r="G175" t="n">
        <v>5520869685</v>
      </c>
      <c r="H175" t="inlineStr">
        <is>
          <t>lalodenis23@hotmail.com</t>
        </is>
      </c>
      <c r="I175" t="inlineStr">
        <is>
          <t>PISTOLA</t>
        </is>
      </c>
      <c r="J175" t="inlineStr">
        <is>
          <t xml:space="preserve">.380" </t>
        </is>
      </c>
      <c r="K175" t="inlineStr">
        <is>
          <t>CESKA ZBROJOVKA</t>
        </is>
      </c>
      <c r="L175" t="inlineStr">
        <is>
          <t>CZ SHADOW 2</t>
        </is>
      </c>
      <c r="M175" t="inlineStr">
        <is>
          <t>DP25088</t>
        </is>
      </c>
      <c r="N175" t="inlineStr">
        <is>
          <t>A3782095</t>
        </is>
      </c>
      <c r="O175" t="n">
        <v>1</v>
      </c>
      <c r="P175" t="n">
        <v>0</v>
      </c>
    </row>
    <row r="176">
      <c r="A176" t="n">
        <v>738</v>
      </c>
      <c r="B176" t="inlineStr">
        <is>
          <t>CALLE 50 No. 531-E x 69 y 71, CENTRO, 97000 MÉRIDA, YUC.</t>
        </is>
      </c>
      <c r="C176" t="inlineStr">
        <is>
          <t>186. EDUARDO DENIS HERRERA</t>
        </is>
      </c>
      <c r="D176" t="inlineStr">
        <is>
          <t>DEHE890423HDFNRD03</t>
        </is>
      </c>
      <c r="E176">
        <f>E209+1</f>
        <v/>
      </c>
      <c r="F176" t="inlineStr">
        <is>
          <t>CALLE 23-A x 16 y 18 No. 220, COL. SAN MIGUEL, MÉRIDA, YUC. C.P. 97140</t>
        </is>
      </c>
      <c r="G176" t="n">
        <v>5520869685</v>
      </c>
      <c r="H176" t="inlineStr">
        <is>
          <t>lalodenis23@hotmail.com</t>
        </is>
      </c>
      <c r="I176" t="inlineStr">
        <is>
          <t>PISTOLA</t>
        </is>
      </c>
      <c r="J176" t="inlineStr">
        <is>
          <t>.380" AUTO</t>
        </is>
      </c>
      <c r="K176" t="inlineStr">
        <is>
          <t>CESKA ZBROJOVKA</t>
        </is>
      </c>
      <c r="L176" t="inlineStr">
        <is>
          <t>CZ P-10</t>
        </is>
      </c>
      <c r="M176" t="inlineStr">
        <is>
          <t>AP06654</t>
        </is>
      </c>
      <c r="N176" t="inlineStr">
        <is>
          <t>A3671000</t>
        </is>
      </c>
      <c r="O176" t="n">
        <v>1</v>
      </c>
      <c r="P176" t="n">
        <v>0</v>
      </c>
    </row>
    <row r="177">
      <c r="A177" t="n">
        <v>738</v>
      </c>
      <c r="B177" t="inlineStr">
        <is>
          <t>CALLE 50 No. 531-E x 69 y 71, CENTRO, 97000 MÉRIDA, YUC.</t>
        </is>
      </c>
      <c r="C177" t="inlineStr">
        <is>
          <t>186. EDUARDO DENIS HERRERA</t>
        </is>
      </c>
      <c r="D177" t="inlineStr">
        <is>
          <t>DEHE890423HDFNRD03</t>
        </is>
      </c>
      <c r="E177">
        <f>E209+1</f>
        <v/>
      </c>
      <c r="F177" t="inlineStr">
        <is>
          <t>CALLE 23-A x 16 y 18 No. 220, COL. SAN MIGUEL, MÉRIDA, YUC. C.P. 97140</t>
        </is>
      </c>
      <c r="G177" t="n">
        <v>5520869685</v>
      </c>
      <c r="H177" t="inlineStr">
        <is>
          <t>lalodenis23@hotmail.com</t>
        </is>
      </c>
      <c r="I177" t="inlineStr">
        <is>
          <t>PISTOLA</t>
        </is>
      </c>
      <c r="J177" t="n">
        <v>380</v>
      </c>
      <c r="K177" t="inlineStr">
        <is>
          <t>GLOCK</t>
        </is>
      </c>
      <c r="L177" t="inlineStr">
        <is>
          <t>34</t>
        </is>
      </c>
      <c r="M177" t="inlineStr">
        <is>
          <t>JW2964</t>
        </is>
      </c>
      <c r="N177" t="inlineStr">
        <is>
          <t>A3758555</t>
        </is>
      </c>
      <c r="O177" t="n">
        <v>1</v>
      </c>
      <c r="P177" t="n">
        <v>0</v>
      </c>
    </row>
    <row r="178">
      <c r="A178" t="n">
        <v>738</v>
      </c>
      <c r="B178" t="inlineStr">
        <is>
          <t>CALLE 50 No. 531-E x 69 y 71, CENTRO, 97000 MÉRIDA, YUC.</t>
        </is>
      </c>
      <c r="C178" t="inlineStr">
        <is>
          <t>188. EDUARDO JOSE ARZAMENDI MONTEJO</t>
        </is>
      </c>
      <c r="D178" t="inlineStr">
        <is>
          <t>AAME760820HYNRND04</t>
        </is>
      </c>
      <c r="E178">
        <f>E211+1</f>
        <v/>
      </c>
      <c r="F178" t="inlineStr">
        <is>
          <t>CALLE 30-A No. 502-N x 69-A y 71, COL. AZCORRA, MÉRIDA, YUC. C.P. 97177</t>
        </is>
      </c>
      <c r="G178" t="n">
        <v>9991276042</v>
      </c>
      <c r="H178" t="inlineStr">
        <is>
          <t>mayayuc3006@gmail.com</t>
        </is>
      </c>
      <c r="I178" t="inlineStr">
        <is>
          <t>ESCOPETA</t>
        </is>
      </c>
      <c r="J178" t="inlineStr">
        <is>
          <t>12 GA</t>
        </is>
      </c>
      <c r="K178" t="inlineStr">
        <is>
          <t>MOSSBERG</t>
        </is>
      </c>
      <c r="L178" t="inlineStr">
        <is>
          <t>500A</t>
        </is>
      </c>
      <c r="M178" t="inlineStr">
        <is>
          <t>J970360</t>
        </is>
      </c>
      <c r="N178" t="inlineStr">
        <is>
          <t>A 3644458</t>
        </is>
      </c>
      <c r="O178" t="n">
        <v>0</v>
      </c>
      <c r="P178" t="n">
        <v>1</v>
      </c>
    </row>
    <row r="179">
      <c r="A179" t="n">
        <v>738</v>
      </c>
      <c r="B179" t="inlineStr">
        <is>
          <t>CALLE 50 No. 531-E x 69 y 71, CENTRO, 97000 MÉRIDA, YUC.</t>
        </is>
      </c>
      <c r="C179" t="inlineStr">
        <is>
          <t>192. RODRIGO GARCÍA ESCALANTE</t>
        </is>
      </c>
      <c r="D179" t="inlineStr">
        <is>
          <t>GAER870129HYNRSD09</t>
        </is>
      </c>
      <c r="E179">
        <f>E220+1</f>
        <v/>
      </c>
      <c r="F179" t="inlineStr">
        <is>
          <t>CALLE 13 No. 757 x 78 A, CDA. BEGONIAS, GRAN SANTA FE NORTE II, CAUCEL, YUC. C.P. 97314</t>
        </is>
      </c>
      <c r="G179" t="n">
        <v>9991375427</v>
      </c>
      <c r="H179" t="inlineStr">
        <is>
          <t>rodrigo.garcia.e@live.com.mx</t>
        </is>
      </c>
      <c r="I179" t="inlineStr">
        <is>
          <t>ESCOPETA</t>
        </is>
      </c>
      <c r="J179" t="inlineStr">
        <is>
          <t>12 GA</t>
        </is>
      </c>
      <c r="K179" t="inlineStr">
        <is>
          <t>LUIGI FRANCHI</t>
        </is>
      </c>
      <c r="L179" t="inlineStr">
        <is>
          <t>BRESCIA</t>
        </is>
      </c>
      <c r="M179" t="n">
        <v>35170</v>
      </c>
      <c r="N179" t="inlineStr">
        <is>
          <t>A 377073</t>
        </is>
      </c>
      <c r="O179" t="n">
        <v>0</v>
      </c>
      <c r="P179" t="n">
        <v>1</v>
      </c>
    </row>
    <row r="180">
      <c r="A180" t="n">
        <v>738</v>
      </c>
      <c r="B180" t="inlineStr">
        <is>
          <t>CALLE 50 No. 531-E x 69 y 71, CENTRO, 97000 MÉRIDA, YUC.</t>
        </is>
      </c>
      <c r="C180" t="inlineStr">
        <is>
          <t>192. RODRIGO GARCÍA ESCALANTE</t>
        </is>
      </c>
      <c r="D180" t="inlineStr">
        <is>
          <t>GAER870129HYNRSD09</t>
        </is>
      </c>
      <c r="E180">
        <f>E220+1</f>
        <v/>
      </c>
      <c r="F180" t="inlineStr">
        <is>
          <t>CALLE 13 No. 757 x 78 A, CDA. BEGONIAS, GRAN SANTA FE NORTE II, CAUCEL, YUC. C.P. 97314</t>
        </is>
      </c>
      <c r="G180" t="n">
        <v>9991375427</v>
      </c>
      <c r="H180" t="inlineStr">
        <is>
          <t>rodrigo.garcia.e@live.com.mx</t>
        </is>
      </c>
      <c r="I180" t="inlineStr">
        <is>
          <t>ESCOPETA</t>
        </is>
      </c>
      <c r="J180" t="inlineStr">
        <is>
          <t>12 GA</t>
        </is>
      </c>
      <c r="K180" t="inlineStr">
        <is>
          <t>REMINGTON</t>
        </is>
      </c>
      <c r="L180" t="inlineStr">
        <is>
          <t>1100</t>
        </is>
      </c>
      <c r="M180" t="inlineStr">
        <is>
          <t>M920313R</t>
        </is>
      </c>
      <c r="N180" t="inlineStr">
        <is>
          <t>A 3667869</t>
        </is>
      </c>
      <c r="O180" t="n">
        <v>0</v>
      </c>
      <c r="P180" t="n">
        <v>1</v>
      </c>
    </row>
    <row r="181">
      <c r="A181" t="n">
        <v>738</v>
      </c>
      <c r="B181" t="inlineStr">
        <is>
          <t>CALLE 50 No. 531-E x 69 y 71, CENTRO, 97000 MÉRIDA, YUC.</t>
        </is>
      </c>
      <c r="C181" t="inlineStr">
        <is>
          <t>193. JULIO RETANA VILLARREAL</t>
        </is>
      </c>
      <c r="D181" t="inlineStr">
        <is>
          <t>REVJ510801HDGTLL01</t>
        </is>
      </c>
      <c r="E181">
        <f>E222+1</f>
        <v/>
      </c>
      <c r="F181" t="inlineStr">
        <is>
          <t>C. 27 No. 331 x 40 y 42 SODZIL NORTE, MÉRIDA, YUC. C.P. 97115</t>
        </is>
      </c>
      <c r="G181" t="n">
        <v>9993356071</v>
      </c>
      <c r="H181" t="inlineStr">
        <is>
          <t>jretana@live.com.mx</t>
        </is>
      </c>
      <c r="I181" t="inlineStr">
        <is>
          <t>PISTOLA</t>
        </is>
      </c>
      <c r="J181" t="inlineStr">
        <is>
          <t>.22"</t>
        </is>
      </c>
      <c r="K181" t="inlineStr">
        <is>
          <t>STAR</t>
        </is>
      </c>
      <c r="L181" t="inlineStr">
        <is>
          <t>SIN</t>
        </is>
      </c>
      <c r="M181" t="n">
        <v>647345</v>
      </c>
      <c r="N181" t="inlineStr">
        <is>
          <t>A 3670629</t>
        </is>
      </c>
      <c r="O181" t="n">
        <v>1</v>
      </c>
      <c r="P181" t="n">
        <v>0</v>
      </c>
    </row>
    <row r="182">
      <c r="A182" t="n">
        <v>738</v>
      </c>
      <c r="B182" t="inlineStr">
        <is>
          <t>CALLE 50 No. 531-E x 69 y 71, CENTRO, 97000 MÉRIDA, YUC.</t>
        </is>
      </c>
      <c r="C182" t="inlineStr">
        <is>
          <t>193. JULIO RETANA VILLARREAL</t>
        </is>
      </c>
      <c r="D182" t="inlineStr">
        <is>
          <t>REVJ510801HDGTLL01</t>
        </is>
      </c>
      <c r="E182">
        <f>E222+1</f>
        <v/>
      </c>
      <c r="F182" t="inlineStr">
        <is>
          <t>C. 27 No. 331 x 40 y 42 SODZIL NORTE, MÉRIDA, YUC. C.P. 97115</t>
        </is>
      </c>
      <c r="G182" t="n">
        <v>9993356071</v>
      </c>
      <c r="H182" t="inlineStr">
        <is>
          <t>jretana@live.com.mx</t>
        </is>
      </c>
      <c r="I182" t="inlineStr">
        <is>
          <t>RIFLE</t>
        </is>
      </c>
      <c r="J182" t="inlineStr">
        <is>
          <t>.22"</t>
        </is>
      </c>
      <c r="K182" t="inlineStr">
        <is>
          <t>STEVENS</t>
        </is>
      </c>
      <c r="L182" t="inlineStr">
        <is>
          <t>887</t>
        </is>
      </c>
      <c r="M182" t="inlineStr">
        <is>
          <t>D547532</t>
        </is>
      </c>
      <c r="N182" t="inlineStr">
        <is>
          <t>A 3670631</t>
        </is>
      </c>
      <c r="O182" t="n">
        <v>0</v>
      </c>
      <c r="P182" t="n">
        <v>1</v>
      </c>
    </row>
    <row r="183">
      <c r="A183" t="n">
        <v>738</v>
      </c>
      <c r="B183" t="inlineStr">
        <is>
          <t>CALLE 50 No. 531-E x 69 y 71, CENTRO, 97000 MÉRIDA, YUC.</t>
        </is>
      </c>
      <c r="C183" t="inlineStr">
        <is>
          <t>193. JULIO RETANA VILLARREAL</t>
        </is>
      </c>
      <c r="D183" t="inlineStr">
        <is>
          <t>REVJ510801HDGTLL01</t>
        </is>
      </c>
      <c r="E183">
        <f>E222+1</f>
        <v/>
      </c>
      <c r="F183" t="inlineStr">
        <is>
          <t>C. 27 No. 331 x 40 y 42 SODZIL NORTE, MÉRIDA, YUC. C.P. 97115</t>
        </is>
      </c>
      <c r="G183" t="n">
        <v>9993356071</v>
      </c>
      <c r="H183" t="inlineStr">
        <is>
          <t>jretana@live.com.mx</t>
        </is>
      </c>
      <c r="I183" t="inlineStr">
        <is>
          <t>ESCOPETA</t>
        </is>
      </c>
      <c r="J183" t="n">
        <v>12</v>
      </c>
      <c r="K183" t="inlineStr">
        <is>
          <t>GLENFIELD</t>
        </is>
      </c>
      <c r="L183" t="inlineStr">
        <is>
          <t>778</t>
        </is>
      </c>
      <c r="M183" t="n">
        <v>20816383</v>
      </c>
      <c r="N183" t="inlineStr">
        <is>
          <t>A 3670632</t>
        </is>
      </c>
      <c r="O183" t="n">
        <v>0</v>
      </c>
      <c r="P183" t="n">
        <v>1</v>
      </c>
    </row>
    <row r="184">
      <c r="A184" t="n">
        <v>738</v>
      </c>
      <c r="B184" t="inlineStr">
        <is>
          <t>CALLE 50 No. 531-E x 69 y 71, CENTRO, 97000 MÉRIDA, YUC.</t>
        </is>
      </c>
      <c r="C184" t="inlineStr">
        <is>
          <t>194. DAVID AZAR CÁMARA</t>
        </is>
      </c>
      <c r="D184" t="inlineStr">
        <is>
          <t>AACD910605HYNZMV00</t>
        </is>
      </c>
      <c r="E184">
        <f>E225+1</f>
        <v/>
      </c>
      <c r="F184" t="inlineStr">
        <is>
          <t>C. 12-A No. 61, SANTA GERTRUDIS COPO, MÉRIDA, YUC. C.P. 97305</t>
        </is>
      </c>
      <c r="G184" t="n">
        <v>9991369874</v>
      </c>
      <c r="H184" t="inlineStr">
        <is>
          <t>d@azarcorp.mx</t>
        </is>
      </c>
      <c r="I184" t="inlineStr">
        <is>
          <t>PISTOLA</t>
        </is>
      </c>
      <c r="J184" t="inlineStr">
        <is>
          <t>.380"</t>
        </is>
      </c>
      <c r="K184" t="inlineStr">
        <is>
          <t>BROWNING</t>
        </is>
      </c>
      <c r="L184" t="inlineStr">
        <is>
          <t>425 PN</t>
        </is>
      </c>
      <c r="M184" t="n">
        <v>7130</v>
      </c>
      <c r="N184" t="inlineStr">
        <is>
          <t>A 3694181</t>
        </is>
      </c>
      <c r="O184" t="n">
        <v>1</v>
      </c>
      <c r="P184" t="n">
        <v>0</v>
      </c>
    </row>
    <row r="185">
      <c r="A185" t="n">
        <v>738</v>
      </c>
      <c r="B185" t="inlineStr">
        <is>
          <t>CALLE 50 No. 531-E x 69 y 71, CENTRO, 97000 MÉRIDA, YUC.</t>
        </is>
      </c>
      <c r="C185" t="inlineStr">
        <is>
          <t>195. ENRIQUE GAONA CASTAÑEDA</t>
        </is>
      </c>
      <c r="D185" t="inlineStr">
        <is>
          <t>GACE770131HDFNFN04</t>
        </is>
      </c>
      <c r="E185">
        <f>E229+1</f>
        <v/>
      </c>
      <c r="F185" t="inlineStr">
        <is>
          <t>C. 137 No. 1295, FRACC. DIAMANTE OPICHEN, MÉRIDA, YUC. C.P. 97249</t>
        </is>
      </c>
      <c r="G185" t="n">
        <v>5520985073</v>
      </c>
      <c r="H185" t="inlineStr">
        <is>
          <t>quiquis77@hotmail.com</t>
        </is>
      </c>
      <c r="I185" t="inlineStr">
        <is>
          <t>PISTOLA</t>
        </is>
      </c>
      <c r="J185" t="inlineStr">
        <is>
          <t>.380"</t>
        </is>
      </c>
      <c r="K185" t="inlineStr">
        <is>
          <t>CESKA ZBROJOVKA</t>
        </is>
      </c>
      <c r="L185" t="inlineStr">
        <is>
          <t>CZ-P-07</t>
        </is>
      </c>
      <c r="M185" t="inlineStr">
        <is>
          <t>F186568</t>
        </is>
      </c>
      <c r="N185" t="inlineStr">
        <is>
          <t>A 3718153</t>
        </is>
      </c>
      <c r="O185" t="n">
        <v>1</v>
      </c>
      <c r="P185" t="n">
        <v>0</v>
      </c>
    </row>
    <row r="186">
      <c r="A186" t="n">
        <v>738</v>
      </c>
      <c r="B186" t="inlineStr">
        <is>
          <t>CALLE 50 No. 531-E x 69 y 71, CENTRO, 97000 MÉRIDA, YUC.</t>
        </is>
      </c>
      <c r="C186" t="inlineStr">
        <is>
          <t>196. ARMANDO PARDIÑAZ ALCANTARA</t>
        </is>
      </c>
      <c r="D186" t="inlineStr">
        <is>
          <t>PAAA710213HDFRLR07</t>
        </is>
      </c>
      <c r="E186">
        <f>E231+1</f>
        <v/>
      </c>
      <c r="F186" t="inlineStr">
        <is>
          <t>C. 29 No. 216 x 4 y 6, SANTA MARIA CHI, MÉRIDA, YUC. C.P.97306</t>
        </is>
      </c>
      <c r="G186" t="n">
        <v>9994992099</v>
      </c>
      <c r="H186" t="inlineStr">
        <is>
          <t>armando.pard@gmail.com</t>
        </is>
      </c>
      <c r="I186" t="inlineStr">
        <is>
          <t>PISTOLA</t>
        </is>
      </c>
      <c r="J186" t="inlineStr">
        <is>
          <t>.380"</t>
        </is>
      </c>
      <c r="K186" t="inlineStr">
        <is>
          <t>BROWNING</t>
        </is>
      </c>
      <c r="L186" t="inlineStr">
        <is>
          <t>BDA-380</t>
        </is>
      </c>
      <c r="M186" t="inlineStr">
        <is>
          <t>425PZ06059</t>
        </is>
      </c>
      <c r="N186" t="inlineStr">
        <is>
          <t>B 564622</t>
        </is>
      </c>
      <c r="O186" t="n">
        <v>1</v>
      </c>
      <c r="P186" t="n">
        <v>0</v>
      </c>
    </row>
    <row r="187">
      <c r="A187" t="n">
        <v>738</v>
      </c>
      <c r="B187" t="inlineStr">
        <is>
          <t>CALLE 50 No. 531-E x 69 y 71, CENTRO, 97000 MÉRIDA, YUC.</t>
        </is>
      </c>
      <c r="C187" t="inlineStr">
        <is>
          <t>199. JOAQUIN RODOLFO GARDONI NUÑEZ</t>
        </is>
      </c>
      <c r="D187" t="inlineStr">
        <is>
          <t>GANJ7408O7HDFRXQ04</t>
        </is>
      </c>
      <c r="E187">
        <f>E233+1</f>
        <v/>
      </c>
      <c r="F187" t="inlineStr">
        <is>
          <t>AUSTRAL No. 35, KM. 15.5, FRACC. COMPOSTELA XCANATUN, CONKAL, YUC. C.P. 97345</t>
        </is>
      </c>
      <c r="G187" t="n">
        <v>5530565722</v>
      </c>
      <c r="H187" t="inlineStr">
        <is>
          <t>jrgardoni@gmail.com</t>
        </is>
      </c>
      <c r="I187" t="inlineStr">
        <is>
          <t>PISTOLA</t>
        </is>
      </c>
      <c r="J187" t="inlineStr">
        <is>
          <t>0.380"</t>
        </is>
      </c>
      <c r="K187" t="inlineStr">
        <is>
          <t>GRAND POWER</t>
        </is>
      </c>
      <c r="L187" t="inlineStr">
        <is>
          <t>P380</t>
        </is>
      </c>
      <c r="M187" t="inlineStr">
        <is>
          <t>K084328</t>
        </is>
      </c>
      <c r="N187" t="inlineStr">
        <is>
          <t>A3714371</t>
        </is>
      </c>
      <c r="O187" t="n">
        <v>1</v>
      </c>
      <c r="P187" t="n">
        <v>0</v>
      </c>
    </row>
    <row r="188">
      <c r="A188" t="n">
        <v>738</v>
      </c>
      <c r="B188" t="inlineStr">
        <is>
          <t>CALLE 50 No. 531-E x 69 y 71, CENTRO, 97000 MÉRIDA, YUC.</t>
        </is>
      </c>
      <c r="C188" t="inlineStr">
        <is>
          <t>199. JOAQUIN RODOLFO GARDONI NUÑEZ</t>
        </is>
      </c>
      <c r="D188" t="inlineStr">
        <is>
          <t>GANJ7408O7HDFRXQ04</t>
        </is>
      </c>
      <c r="E188">
        <f>E233+1</f>
        <v/>
      </c>
      <c r="F188" t="inlineStr">
        <is>
          <t>AUSTRAL No. 35, KM. 15.5, FRACC. COMPOSTELA XCANATUN, CONKAL, YUC. C.P. 97345</t>
        </is>
      </c>
      <c r="G188" t="n">
        <v>5530565722</v>
      </c>
      <c r="H188" t="inlineStr">
        <is>
          <t>jrgardoni@gmail.com</t>
        </is>
      </c>
      <c r="I188" t="inlineStr">
        <is>
          <t>PISTOLA</t>
        </is>
      </c>
      <c r="J188" t="inlineStr">
        <is>
          <t>.380" AUTO</t>
        </is>
      </c>
      <c r="K188" t="inlineStr">
        <is>
          <t>GRAND POWER</t>
        </is>
      </c>
      <c r="L188" t="inlineStr">
        <is>
          <t>LP380</t>
        </is>
      </c>
      <c r="M188" t="inlineStr">
        <is>
          <t>K078999</t>
        </is>
      </c>
      <c r="N188" t="inlineStr">
        <is>
          <t>A 3601943</t>
        </is>
      </c>
      <c r="O188" t="n">
        <v>1</v>
      </c>
      <c r="P188" t="n">
        <v>0</v>
      </c>
    </row>
    <row r="189">
      <c r="A189" t="n">
        <v>738</v>
      </c>
      <c r="B189" t="inlineStr">
        <is>
          <t>CALLE 50 No. 531-E x 69 y 71, CENTRO, 97000 MÉRIDA, YUC.</t>
        </is>
      </c>
      <c r="C189" t="inlineStr">
        <is>
          <t>199. JOAQUIN RODOLFO GARDONI NUÑEZ</t>
        </is>
      </c>
      <c r="D189" t="inlineStr">
        <is>
          <t>GANJ7408O7HDFRXQ04</t>
        </is>
      </c>
      <c r="E189">
        <f>E233+1</f>
        <v/>
      </c>
      <c r="F189" t="inlineStr">
        <is>
          <t>AUSTRAL No. 35, KM. 15.5, FRACC. COMPOSTELA XCANATUN, CONKAL, YUC. C.P. 97345</t>
        </is>
      </c>
      <c r="G189" t="n">
        <v>5530565722</v>
      </c>
      <c r="H189" t="inlineStr">
        <is>
          <t>jrgardoni@gmail.com</t>
        </is>
      </c>
      <c r="I189" t="inlineStr">
        <is>
          <t>PISTOLA</t>
        </is>
      </c>
      <c r="J189" t="inlineStr">
        <is>
          <t>.22" L.R.</t>
        </is>
      </c>
      <c r="K189" t="inlineStr">
        <is>
          <t>GRAND POWER</t>
        </is>
      </c>
      <c r="L189" t="inlineStr">
        <is>
          <t>K22 X-TRIM</t>
        </is>
      </c>
      <c r="M189" t="inlineStr">
        <is>
          <t>K078928</t>
        </is>
      </c>
      <c r="N189" t="inlineStr">
        <is>
          <t>A 3601944</t>
        </is>
      </c>
      <c r="O189" t="n">
        <v>1</v>
      </c>
      <c r="P189" t="n">
        <v>0</v>
      </c>
    </row>
    <row r="190">
      <c r="A190" t="n">
        <v>738</v>
      </c>
      <c r="B190" t="inlineStr">
        <is>
          <t>CALLE 50 No. 531-E x 69 y 71, CENTRO, 97000 MÉRIDA, YUC.</t>
        </is>
      </c>
      <c r="C190" t="inlineStr">
        <is>
          <t>199. JOAQUIN RODOLFO GARDONI NUÑEZ</t>
        </is>
      </c>
      <c r="D190" t="inlineStr">
        <is>
          <t>GANJ7408O7HDFRXQ04</t>
        </is>
      </c>
      <c r="E190">
        <f>E233+1</f>
        <v/>
      </c>
      <c r="F190" t="inlineStr">
        <is>
          <t>AUSTRAL No. 35, KM. 15.5, FRACC. COMPOSTELA XCANATUN, CONKAL, YUC. C.P. 97345</t>
        </is>
      </c>
      <c r="G190" t="n">
        <v>5530565722</v>
      </c>
      <c r="H190" t="inlineStr">
        <is>
          <t>jrgardoni@gmail.com</t>
        </is>
      </c>
      <c r="I190" t="inlineStr">
        <is>
          <t>PISTOLA</t>
        </is>
      </c>
      <c r="J190" t="inlineStr">
        <is>
          <t>.380"</t>
        </is>
      </c>
      <c r="K190" t="inlineStr">
        <is>
          <t>CESKA ZBROJOVKA</t>
        </is>
      </c>
      <c r="L190" t="inlineStr">
        <is>
          <t>CZ SHADOW 2</t>
        </is>
      </c>
      <c r="M190" t="inlineStr">
        <is>
          <t>DP25086</t>
        </is>
      </c>
      <c r="N190" t="inlineStr">
        <is>
          <t>A 3782099</t>
        </is>
      </c>
      <c r="O190" t="n">
        <v>1</v>
      </c>
      <c r="P190" t="n">
        <v>0</v>
      </c>
    </row>
    <row r="191">
      <c r="A191" t="n">
        <v>738</v>
      </c>
      <c r="B191" t="inlineStr">
        <is>
          <t>CALLE 50 No. 531-E x 69 y 71, CENTRO, 97000 MÉRIDA, YUC.</t>
        </is>
      </c>
      <c r="C191" t="inlineStr">
        <is>
          <t>199. JOAQUIN RODOLFO GARDONI NUÑEZ</t>
        </is>
      </c>
      <c r="D191" t="inlineStr">
        <is>
          <t>GANJ7408O7HDFRXQ04</t>
        </is>
      </c>
      <c r="E191">
        <f>E233+1</f>
        <v/>
      </c>
      <c r="F191" t="inlineStr">
        <is>
          <t>AUSTRAL No. 35, KM. 15.5, FRACC. COMPOSTELA XCANATUN, CONKAL, YUC. C.P. 97345</t>
        </is>
      </c>
      <c r="G191" t="n">
        <v>5530565722</v>
      </c>
      <c r="H191" t="inlineStr">
        <is>
          <t>jrgardoni@gmail.com</t>
        </is>
      </c>
      <c r="I191" t="inlineStr">
        <is>
          <t>PISTOLA</t>
        </is>
      </c>
      <c r="J191" t="inlineStr">
        <is>
          <t>.380"</t>
        </is>
      </c>
      <c r="K191" t="inlineStr">
        <is>
          <t>CESKA ZBROJOVKA</t>
        </is>
      </c>
      <c r="L191" t="inlineStr">
        <is>
          <t>CZ SHADOW 2</t>
        </is>
      </c>
      <c r="M191" t="inlineStr">
        <is>
          <t>DP25246</t>
        </is>
      </c>
      <c r="N191" t="inlineStr">
        <is>
          <t>A 3792515</t>
        </is>
      </c>
      <c r="O191" t="n">
        <v>1</v>
      </c>
      <c r="P191" t="n">
        <v>0</v>
      </c>
    </row>
    <row r="192">
      <c r="A192" t="n">
        <v>738</v>
      </c>
      <c r="B192" t="inlineStr">
        <is>
          <t>CALLE 50 No. 531-E x 69 y 71, CENTRO, 97000 MÉRIDA, YUC.</t>
        </is>
      </c>
      <c r="C192" t="inlineStr">
        <is>
          <t>199. JOAQUIN RODOLFO GARDONI NUÑEZ</t>
        </is>
      </c>
      <c r="D192" t="inlineStr">
        <is>
          <t>GANJ7408O7HDFRXQ04</t>
        </is>
      </c>
      <c r="E192">
        <f>E233+1</f>
        <v/>
      </c>
      <c r="F192" t="inlineStr">
        <is>
          <t>AUSTRAL No. 35, KM. 15.5, FRACC. COMPOSTELA XCANATUN, CONKAL, YUC. C.P. 97345</t>
        </is>
      </c>
      <c r="G192" t="n">
        <v>5530565722</v>
      </c>
      <c r="H192" t="inlineStr">
        <is>
          <t>jrgardoni@gmail.com</t>
        </is>
      </c>
      <c r="I192" t="inlineStr">
        <is>
          <t>RIFLE</t>
        </is>
      </c>
      <c r="J192" t="inlineStr">
        <is>
          <t>.22" L.R.</t>
        </is>
      </c>
      <c r="K192" t="inlineStr">
        <is>
          <t>RUGER</t>
        </is>
      </c>
      <c r="L192" t="inlineStr">
        <is>
          <t>10/22</t>
        </is>
      </c>
      <c r="M192" t="inlineStr">
        <is>
          <t>0008-32069</t>
        </is>
      </c>
      <c r="N192" t="inlineStr">
        <is>
          <t>A 3722288</t>
        </is>
      </c>
      <c r="O192" t="n">
        <v>0</v>
      </c>
      <c r="P192" t="n">
        <v>1</v>
      </c>
    </row>
    <row r="193">
      <c r="A193" t="n">
        <v>738</v>
      </c>
      <c r="B193" t="inlineStr">
        <is>
          <t>CALLE 50 No. 531-E x 69 y 71, CENTRO, 97000 MÉRIDA, YUC.</t>
        </is>
      </c>
      <c r="C193" t="inlineStr">
        <is>
          <t>199. JOAQUIN RODOLFO GARDONI NUÑEZ</t>
        </is>
      </c>
      <c r="D193" t="inlineStr">
        <is>
          <t>GANJ7408O7HDFRXQ04</t>
        </is>
      </c>
      <c r="E193">
        <f>E233+1</f>
        <v/>
      </c>
      <c r="F193" t="inlineStr">
        <is>
          <t>AUSTRAL No. 35, KM. 15.5, FRACC. COMPOSTELA XCANATUN, CONKAL, YUC. C.P. 97345</t>
        </is>
      </c>
      <c r="G193" t="n">
        <v>5530565722</v>
      </c>
      <c r="H193" t="inlineStr">
        <is>
          <t>jrgardoni@gmail.com</t>
        </is>
      </c>
      <c r="I193" t="inlineStr">
        <is>
          <t>RIFLE</t>
        </is>
      </c>
      <c r="J193" t="inlineStr">
        <is>
          <t>.22" L.R.</t>
        </is>
      </c>
      <c r="K193" t="inlineStr">
        <is>
          <t>RUGER</t>
        </is>
      </c>
      <c r="L193" t="inlineStr">
        <is>
          <t>10/22</t>
        </is>
      </c>
      <c r="M193" t="inlineStr">
        <is>
          <t>0013-82505</t>
        </is>
      </c>
      <c r="N193" t="inlineStr">
        <is>
          <t>A 3605099</t>
        </is>
      </c>
      <c r="O193" t="n">
        <v>0</v>
      </c>
      <c r="P193" t="n">
        <v>1</v>
      </c>
    </row>
    <row r="194">
      <c r="A194" t="n">
        <v>738</v>
      </c>
      <c r="B194" t="inlineStr">
        <is>
          <t>CALLE 50 No. 531-E x 69 y 71, CENTRO, 97000 MÉRIDA, YUC.</t>
        </is>
      </c>
      <c r="C194" t="inlineStr">
        <is>
          <t>199. JOAQUIN RODOLFO GARDONI NUÑEZ</t>
        </is>
      </c>
      <c r="D194" t="inlineStr">
        <is>
          <t>GANJ7408O7HDFRXQ04</t>
        </is>
      </c>
      <c r="E194">
        <f>E233+1</f>
        <v/>
      </c>
      <c r="F194" t="inlineStr">
        <is>
          <t>AUSTRAL No. 35, KM. 15.5, FRACC. COMPOSTELA XCANATUN, CONKAL, YUC. C.P. 97345</t>
        </is>
      </c>
      <c r="G194" t="n">
        <v>5530565722</v>
      </c>
      <c r="H194" t="inlineStr">
        <is>
          <t>jrgardoni@gmail.com</t>
        </is>
      </c>
      <c r="I194" t="inlineStr">
        <is>
          <t>RIFLE</t>
        </is>
      </c>
      <c r="J194" t="inlineStr">
        <is>
          <t>.22" L.R.</t>
        </is>
      </c>
      <c r="K194" t="inlineStr">
        <is>
          <t>KRISS</t>
        </is>
      </c>
      <c r="L194" t="inlineStr">
        <is>
          <t>DMK22C</t>
        </is>
      </c>
      <c r="M194" t="inlineStr">
        <is>
          <t>22C002369</t>
        </is>
      </c>
      <c r="N194" t="n">
        <v>3722287</v>
      </c>
      <c r="O194" t="n">
        <v>0</v>
      </c>
      <c r="P194" t="n">
        <v>1</v>
      </c>
    </row>
    <row r="195">
      <c r="A195" t="n">
        <v>738</v>
      </c>
      <c r="B195" t="inlineStr">
        <is>
          <t>CALLE 50 No. 531-E x 69 y 71, CENTRO, 97000 MÉRIDA, YUC.</t>
        </is>
      </c>
      <c r="C195" t="inlineStr">
        <is>
          <t>200. J. JESÚS VALENCIA ROJAS</t>
        </is>
      </c>
      <c r="D195" t="inlineStr">
        <is>
          <t>VARJ861111HMNLJS03</t>
        </is>
      </c>
      <c r="E195">
        <f>E235+1</f>
        <v/>
      </c>
      <c r="F195" t="inlineStr">
        <is>
          <t>C. 26 S/N x 53 y 55, TEKAX DE ALVARO OBREGON, TEKAX, YUC. C.P. 97970</t>
        </is>
      </c>
      <c r="G195" t="n">
        <v>9971248940</v>
      </c>
      <c r="H195" t="inlineStr">
        <is>
          <t>valenciarojasjjesus@gmail.com</t>
        </is>
      </c>
      <c r="I195" t="inlineStr">
        <is>
          <t>PISTOLA</t>
        </is>
      </c>
      <c r="J195" t="inlineStr">
        <is>
          <t>.380"</t>
        </is>
      </c>
      <c r="K195" t="inlineStr">
        <is>
          <t>LLAMA</t>
        </is>
      </c>
      <c r="L195" t="inlineStr">
        <is>
          <t>SIN</t>
        </is>
      </c>
      <c r="M195" t="inlineStr">
        <is>
          <t>A88396</t>
        </is>
      </c>
      <c r="N195" t="inlineStr">
        <is>
          <t>A 3758538</t>
        </is>
      </c>
      <c r="O195" t="n">
        <v>1</v>
      </c>
      <c r="P195" t="n">
        <v>0</v>
      </c>
    </row>
    <row r="196">
      <c r="A196" t="n">
        <v>738</v>
      </c>
      <c r="B196" t="inlineStr">
        <is>
          <t>CALLE 50 No. 531-E x 69 y 71, CENTRO, 97000 MÉRIDA, YUC.</t>
        </is>
      </c>
      <c r="C196" t="inlineStr">
        <is>
          <t>200. J. JESÚS VALENCIA ROJAS</t>
        </is>
      </c>
      <c r="D196" t="inlineStr">
        <is>
          <t>VARJ861111HMNLJS03</t>
        </is>
      </c>
      <c r="E196">
        <f>E235+1</f>
        <v/>
      </c>
      <c r="F196" t="inlineStr">
        <is>
          <t>C. 26 S/N x 53 y 55, TEKAX DE ALVARO OBREGON, TEKAX, YUC. C.P. 97970</t>
        </is>
      </c>
      <c r="G196" t="n">
        <v>9971248940</v>
      </c>
      <c r="H196" t="inlineStr">
        <is>
          <t>valenciarojasjjesus@gmail.com</t>
        </is>
      </c>
      <c r="I196" t="inlineStr">
        <is>
          <t>PISTOLA</t>
        </is>
      </c>
      <c r="J196" t="inlineStr">
        <is>
          <t>.22" L.R.</t>
        </is>
      </c>
      <c r="K196" t="inlineStr">
        <is>
          <t>BROWNING</t>
        </is>
      </c>
      <c r="L196" t="inlineStr">
        <is>
          <t>BUCK MARK</t>
        </is>
      </c>
      <c r="M196" t="inlineStr">
        <is>
          <t>655RR11851</t>
        </is>
      </c>
      <c r="N196" t="inlineStr">
        <is>
          <t>A 3758539</t>
        </is>
      </c>
      <c r="O196" t="n">
        <v>1</v>
      </c>
      <c r="P196" t="n">
        <v>0</v>
      </c>
    </row>
    <row r="197">
      <c r="A197" t="n">
        <v>738</v>
      </c>
      <c r="B197" t="inlineStr">
        <is>
          <t>CALLE 50 No. 531-E x 69 y 71, CENTRO, 97000 MÉRIDA, YUC.</t>
        </is>
      </c>
      <c r="C197" t="inlineStr">
        <is>
          <t>200. J. JESÚS VALENCIA ROJAS</t>
        </is>
      </c>
      <c r="D197" t="inlineStr">
        <is>
          <t>VARJ861111HMNLJS03</t>
        </is>
      </c>
      <c r="E197">
        <f>E235+1</f>
        <v/>
      </c>
      <c r="F197" t="inlineStr">
        <is>
          <t>C. 26 S/N x 53 y 55, TEKAX DE ALVARO OBREGON, TEKAX, YUC. C.P. 97970</t>
        </is>
      </c>
      <c r="G197" t="n">
        <v>9971248940</v>
      </c>
      <c r="H197" t="inlineStr">
        <is>
          <t>valenciarojasjjesus@gmail.com</t>
        </is>
      </c>
      <c r="I197" t="inlineStr">
        <is>
          <t>RIFLE</t>
        </is>
      </c>
      <c r="J197" t="inlineStr">
        <is>
          <t>.223" REM.</t>
        </is>
      </c>
      <c r="K197" t="inlineStr">
        <is>
          <t>BENELLI</t>
        </is>
      </c>
      <c r="L197" t="inlineStr">
        <is>
          <t>MR1</t>
        </is>
      </c>
      <c r="M197" t="inlineStr">
        <is>
          <t>BC003839</t>
        </is>
      </c>
      <c r="N197" t="inlineStr">
        <is>
          <t>A 3761192</t>
        </is>
      </c>
      <c r="O197" t="n">
        <v>0</v>
      </c>
      <c r="P197" t="n">
        <v>1</v>
      </c>
    </row>
    <row r="198">
      <c r="A198" t="n">
        <v>738</v>
      </c>
      <c r="B198" t="inlineStr">
        <is>
          <t>CALLE 50 No. 531-E x 69 y 71, CENTRO, 97000 MÉRIDA, YUC.</t>
        </is>
      </c>
      <c r="C198" t="inlineStr">
        <is>
          <t>201. BRAYER KERMITH VERDE CHIN</t>
        </is>
      </c>
      <c r="D198" t="inlineStr">
        <is>
          <t>VECB750917HYNRHR03</t>
        </is>
      </c>
      <c r="E198">
        <f>E244+1</f>
        <v/>
      </c>
      <c r="F198" t="inlineStr">
        <is>
          <t>C. 18-A x 31-D y 35, COL. NUEVA ALEMÁN, MÉRIDA, YUC. C.P. 97146</t>
        </is>
      </c>
      <c r="G198" t="n">
        <v>9992247551</v>
      </c>
      <c r="H198" t="inlineStr">
        <is>
          <t>brayerbyv@gmail.com</t>
        </is>
      </c>
      <c r="I198" t="inlineStr">
        <is>
          <t>ESCOPETA</t>
        </is>
      </c>
      <c r="J198" t="inlineStr">
        <is>
          <t>20 GA</t>
        </is>
      </c>
      <c r="K198" t="inlineStr">
        <is>
          <t>REMINGTON</t>
        </is>
      </c>
      <c r="L198" t="inlineStr">
        <is>
          <t>11-87 SPORTSMAN</t>
        </is>
      </c>
      <c r="M198" t="inlineStr">
        <is>
          <t>RS93764K</t>
        </is>
      </c>
      <c r="N198" t="inlineStr">
        <is>
          <t>B 347235</t>
        </is>
      </c>
      <c r="O198" t="n">
        <v>0</v>
      </c>
      <c r="P198" t="n">
        <v>1</v>
      </c>
    </row>
    <row r="199">
      <c r="A199" t="n">
        <v>738</v>
      </c>
      <c r="B199" t="inlineStr">
        <is>
          <t>CALLE 50 No. 531-E x 69 y 71, CENTRO, 97000 MÉRIDA, YUC.</t>
        </is>
      </c>
      <c r="C199" t="inlineStr">
        <is>
          <t>201. BRAYER KERMITH VERDE CHIN</t>
        </is>
      </c>
      <c r="D199" t="inlineStr">
        <is>
          <t>VECB750917HYNRHR03</t>
        </is>
      </c>
      <c r="E199">
        <f>E244+1</f>
        <v/>
      </c>
      <c r="F199" t="inlineStr">
        <is>
          <t>C. 18-A x 31-D y 35, COL. NUEVA ALEMÁN, MÉRIDA, YUC. C.P. 97146</t>
        </is>
      </c>
      <c r="G199" t="n">
        <v>9992247551</v>
      </c>
      <c r="H199" t="inlineStr">
        <is>
          <t>brayerbyv@gmail.com</t>
        </is>
      </c>
      <c r="I199" t="inlineStr">
        <is>
          <t>RIFLE</t>
        </is>
      </c>
      <c r="J199" t="inlineStr">
        <is>
          <t>0.22" HORNET</t>
        </is>
      </c>
      <c r="K199" t="inlineStr">
        <is>
          <t>ZBROJOVKA BRNO</t>
        </is>
      </c>
      <c r="L199" t="inlineStr">
        <is>
          <t>AZKW</t>
        </is>
      </c>
      <c r="M199" t="n">
        <v>21669</v>
      </c>
      <c r="N199" t="inlineStr">
        <is>
          <t>B 404869</t>
        </is>
      </c>
      <c r="O199" t="n">
        <v>0</v>
      </c>
      <c r="P199" t="n">
        <v>1</v>
      </c>
    </row>
    <row r="200">
      <c r="A200" t="n">
        <v>738</v>
      </c>
      <c r="B200" t="inlineStr">
        <is>
          <t>CALLE 50 No. 531-E x 69 y 71, CENTRO, 97000 MÉRIDA, YUC.</t>
        </is>
      </c>
      <c r="C200" t="inlineStr">
        <is>
          <t>201. BRAYER KERMITH VERDE CHIN</t>
        </is>
      </c>
      <c r="D200" t="inlineStr">
        <is>
          <t>VECB750917HYNRHR03</t>
        </is>
      </c>
      <c r="E200">
        <f>E244+1</f>
        <v/>
      </c>
      <c r="F200" t="inlineStr">
        <is>
          <t>C. 18-A x 31-D y 35, COL. NUEVA ALEMÁN, MÉRIDA, YUC. C.P. 97146</t>
        </is>
      </c>
      <c r="G200" t="n">
        <v>9992247551</v>
      </c>
      <c r="H200" t="inlineStr">
        <is>
          <t>brayerbyv@gmail.com</t>
        </is>
      </c>
      <c r="I200" t="inlineStr">
        <is>
          <t>ESCOPETA</t>
        </is>
      </c>
      <c r="J200" t="inlineStr">
        <is>
          <t>0.410"</t>
        </is>
      </c>
      <c r="K200" t="inlineStr">
        <is>
          <t>STEVENS</t>
        </is>
      </c>
      <c r="L200" t="inlineStr">
        <is>
          <t>SIN</t>
        </is>
      </c>
      <c r="M200" t="inlineStr">
        <is>
          <t>775ND</t>
        </is>
      </c>
      <c r="N200" t="inlineStr">
        <is>
          <t>A 3420280</t>
        </is>
      </c>
      <c r="O200" t="n">
        <v>0</v>
      </c>
      <c r="P200" t="n">
        <v>1</v>
      </c>
    </row>
    <row r="201">
      <c r="A201" t="n">
        <v>738</v>
      </c>
      <c r="B201" t="inlineStr">
        <is>
          <t>CALLE 50 No. 531-E x 69 y 71, CENTRO, 97000 MÉRIDA, YUC.</t>
        </is>
      </c>
      <c r="C201" t="inlineStr">
        <is>
          <t>201. BRAYER KERMITH VERDE CHIN</t>
        </is>
      </c>
      <c r="D201" t="inlineStr">
        <is>
          <t>VECB750917HYNRHR03</t>
        </is>
      </c>
      <c r="E201">
        <f>E244+1</f>
        <v/>
      </c>
      <c r="F201" t="inlineStr">
        <is>
          <t>C. 18-A x 31-D y 35, COL. NUEVA ALEMÁN, MÉRIDA, YUC. C.P. 97146</t>
        </is>
      </c>
      <c r="G201" t="n">
        <v>9992247551</v>
      </c>
      <c r="H201" t="inlineStr">
        <is>
          <t>brayerbyv@gmail.com</t>
        </is>
      </c>
      <c r="I201" t="inlineStr">
        <is>
          <t>RIFE</t>
        </is>
      </c>
      <c r="J201" t="inlineStr">
        <is>
          <t>.270" WIN</t>
        </is>
      </c>
      <c r="K201" t="inlineStr">
        <is>
          <t>WEATHERBY</t>
        </is>
      </c>
      <c r="L201" t="inlineStr">
        <is>
          <t>VANGUARD</t>
        </is>
      </c>
      <c r="M201" t="inlineStr">
        <is>
          <t>VB181028</t>
        </is>
      </c>
      <c r="N201" t="inlineStr">
        <is>
          <t>B 539965</t>
        </is>
      </c>
      <c r="O201" t="n">
        <v>0</v>
      </c>
      <c r="P201" t="n">
        <v>1</v>
      </c>
    </row>
    <row r="202">
      <c r="A202" t="n">
        <v>738</v>
      </c>
      <c r="B202" t="inlineStr">
        <is>
          <t>CALLE 50 No. 531-E x 69 y 71, CENTRO, 97000 MÉRIDA, YUC.</t>
        </is>
      </c>
      <c r="C202" t="inlineStr">
        <is>
          <t>202. ROGER IRÁN MÉNDEZ CARRILLO</t>
        </is>
      </c>
      <c r="D202" t="inlineStr">
        <is>
          <t xml:space="preserve"> MECR871030HYNNRG05</t>
        </is>
      </c>
      <c r="E202">
        <f>E248+1</f>
        <v/>
      </c>
      <c r="F202" t="inlineStr">
        <is>
          <t>C. 22C # 247 X 19, FRACC. ALTABRISA, CP 97130, MÉRIDA, YUCATÁN</t>
        </is>
      </c>
      <c r="G202" t="n">
        <v>9991356502</v>
      </c>
      <c r="H202" t="inlineStr">
        <is>
          <t>rafle_30@hotmail.com</t>
        </is>
      </c>
      <c r="I202" t="inlineStr">
        <is>
          <t>REVOLVER</t>
        </is>
      </c>
      <c r="J202" t="inlineStr">
        <is>
          <t>.38" SPL.</t>
        </is>
      </c>
      <c r="K202" t="inlineStr">
        <is>
          <t>SMITH &amp; WESSON</t>
        </is>
      </c>
      <c r="L202" t="inlineStr">
        <is>
          <t>SPRINGFIELD</t>
        </is>
      </c>
      <c r="M202" t="inlineStr">
        <is>
          <t>6K66706</t>
        </is>
      </c>
      <c r="N202" t="inlineStr">
        <is>
          <t>A3658419</t>
        </is>
      </c>
      <c r="O202" t="n">
        <v>1</v>
      </c>
      <c r="P202" t="n">
        <v>0</v>
      </c>
    </row>
    <row r="203">
      <c r="A203" t="n">
        <v>738</v>
      </c>
      <c r="B203" t="inlineStr">
        <is>
          <t>CALLE 50 No. 531-E x 69 y 71, CENTRO, 97000 MÉRIDA, YUC.</t>
        </is>
      </c>
      <c r="C203" t="inlineStr">
        <is>
          <t>202. ROGER IRÁN MÉNDEZ CARRILLO</t>
        </is>
      </c>
      <c r="D203" t="inlineStr">
        <is>
          <t xml:space="preserve"> MECR871030HYNNRG05</t>
        </is>
      </c>
      <c r="E203">
        <f>E248+1</f>
        <v/>
      </c>
      <c r="F203" t="inlineStr">
        <is>
          <t>C. 22C # 247 X 19, FRACC. ALTABRISA, CP 97130, MÉRIDA, YUCATÁN</t>
        </is>
      </c>
      <c r="G203" t="n">
        <v>9991356502</v>
      </c>
      <c r="H203" t="inlineStr">
        <is>
          <t>rafle_30@hotmail.com</t>
        </is>
      </c>
      <c r="I203" t="inlineStr">
        <is>
          <t>RIFLE</t>
        </is>
      </c>
      <c r="J203" t="inlineStr">
        <is>
          <t>.22" L.R.</t>
        </is>
      </c>
      <c r="K203" t="inlineStr">
        <is>
          <t>SEARS</t>
        </is>
      </c>
      <c r="L203" t="inlineStr">
        <is>
          <t>3T</t>
        </is>
      </c>
      <c r="M203" t="inlineStr">
        <is>
          <t>H347416</t>
        </is>
      </c>
      <c r="N203" t="inlineStr">
        <is>
          <t>A3557894</t>
        </is>
      </c>
      <c r="O203" t="n">
        <v>0</v>
      </c>
      <c r="P203" t="n">
        <v>1</v>
      </c>
    </row>
    <row r="204">
      <c r="A204" t="n">
        <v>738</v>
      </c>
      <c r="B204" t="inlineStr">
        <is>
          <t>CALLE 50 No. 531-E x 69 y 71, CENTRO, 97000 MÉRIDA, YUC.</t>
        </is>
      </c>
      <c r="C204" t="inlineStr">
        <is>
          <t>202. ROGER IRÁN MÉNDEZ CARRILLO</t>
        </is>
      </c>
      <c r="D204" t="inlineStr">
        <is>
          <t xml:space="preserve"> MECR871030HYNNRG05</t>
        </is>
      </c>
      <c r="E204">
        <f>E248+1</f>
        <v/>
      </c>
      <c r="F204" t="inlineStr">
        <is>
          <t>C. 22C # 247 X 19, FRACC. ALTABRISA, CP 97130, MÉRIDA, YUCATÁN</t>
        </is>
      </c>
      <c r="G204" t="n">
        <v>9991356502</v>
      </c>
      <c r="H204" t="inlineStr">
        <is>
          <t>rafle_30@hotmail.com</t>
        </is>
      </c>
      <c r="I204" t="inlineStr">
        <is>
          <t>ESCOPETA</t>
        </is>
      </c>
      <c r="J204" t="n">
        <v>12</v>
      </c>
      <c r="K204" t="inlineStr">
        <is>
          <t>WINCHESTER</t>
        </is>
      </c>
      <c r="L204" t="inlineStr">
        <is>
          <t>70</t>
        </is>
      </c>
      <c r="M204" t="inlineStr">
        <is>
          <t>W061106</t>
        </is>
      </c>
      <c r="N204" t="inlineStr">
        <is>
          <t>B546460</t>
        </is>
      </c>
      <c r="O204" t="n">
        <v>0</v>
      </c>
      <c r="P204" t="n">
        <v>1</v>
      </c>
    </row>
    <row r="205">
      <c r="A205" t="n">
        <v>738</v>
      </c>
      <c r="B205" t="inlineStr">
        <is>
          <t>CALLE 50 No. 531-E x 69 y 71, CENTRO, 97000 MÉRIDA, YUC.</t>
        </is>
      </c>
      <c r="C205" t="inlineStr">
        <is>
          <t>202. ROGER IRÁN MÉNDEZ CARRILLO</t>
        </is>
      </c>
      <c r="D205" t="inlineStr">
        <is>
          <t xml:space="preserve"> MECR871030HYNNRG05</t>
        </is>
      </c>
      <c r="E205">
        <f>E248+1</f>
        <v/>
      </c>
      <c r="F205" t="inlineStr">
        <is>
          <t>C. 22C # 247 X 19, FRACC. ALTABRISA, CP 97130, MÉRIDA, YUCATÁN</t>
        </is>
      </c>
      <c r="G205" t="n">
        <v>9991356502</v>
      </c>
      <c r="H205" t="inlineStr">
        <is>
          <t>rafle_30@hotmail.com</t>
        </is>
      </c>
      <c r="I205" t="inlineStr">
        <is>
          <t>ESCOPETA</t>
        </is>
      </c>
      <c r="J205" t="inlineStr">
        <is>
          <t>12 GA</t>
        </is>
      </c>
      <c r="K205" t="inlineStr">
        <is>
          <t>STEVENS</t>
        </is>
      </c>
      <c r="L205" t="inlineStr">
        <is>
          <t>311</t>
        </is>
      </c>
      <c r="M205" t="inlineStr">
        <is>
          <t>C284992</t>
        </is>
      </c>
      <c r="N205" t="inlineStr">
        <is>
          <t>A3555955</t>
        </is>
      </c>
      <c r="O205" t="n">
        <v>0</v>
      </c>
      <c r="P205" t="n">
        <v>1</v>
      </c>
    </row>
    <row r="206">
      <c r="A206" t="n">
        <v>738</v>
      </c>
      <c r="B206" t="inlineStr">
        <is>
          <t>CALLE 50 No. 531-E x 69 y 71, CENTRO, 97000 MÉRIDA, YUC.</t>
        </is>
      </c>
      <c r="C206" t="inlineStr">
        <is>
          <t>202. ROGER IRÁN MÉNDEZ CARRILLO</t>
        </is>
      </c>
      <c r="D206" t="inlineStr">
        <is>
          <t xml:space="preserve"> MECR871030HYNNRG05</t>
        </is>
      </c>
      <c r="E206">
        <f>E248+1</f>
        <v/>
      </c>
      <c r="F206" t="inlineStr">
        <is>
          <t>C. 22C # 247 X 19, FRACC. ALTABRISA, CP 97130, MÉRIDA, YUCATÁN</t>
        </is>
      </c>
      <c r="G206" t="n">
        <v>9991356502</v>
      </c>
      <c r="H206" t="inlineStr">
        <is>
          <t>rafle_30@hotmail.com</t>
        </is>
      </c>
      <c r="I206" t="inlineStr">
        <is>
          <t>ESCOPETA</t>
        </is>
      </c>
      <c r="J206" t="inlineStr">
        <is>
          <t>12 GA</t>
        </is>
      </c>
      <c r="K206" t="inlineStr">
        <is>
          <t>STEVENS</t>
        </is>
      </c>
      <c r="L206" t="inlineStr">
        <is>
          <t>79</t>
        </is>
      </c>
      <c r="M206" t="inlineStr">
        <is>
          <t>D040153</t>
        </is>
      </c>
      <c r="N206" t="inlineStr">
        <is>
          <t>A3557896</t>
        </is>
      </c>
      <c r="O206" t="n">
        <v>0</v>
      </c>
      <c r="P206" t="n">
        <v>1</v>
      </c>
    </row>
    <row r="207">
      <c r="A207" t="n">
        <v>738</v>
      </c>
      <c r="B207" t="inlineStr">
        <is>
          <t>CALLE 50 No. 531-E x 69 y 71, CENTRO, 97000 MÉRIDA, YUC.</t>
        </is>
      </c>
      <c r="C207" t="inlineStr">
        <is>
          <t>203. MANUEL JESÚS TZAB CHUC</t>
        </is>
      </c>
      <c r="D207" t="inlineStr">
        <is>
          <t>TACM750410HYNZHN05</t>
        </is>
      </c>
      <c r="E207">
        <f>E253+1</f>
        <v/>
      </c>
      <c r="F207" t="inlineStr">
        <is>
          <t>C. 103 # 624 X 142 Y 144, FRACC. LOS HEROES. MÉRIDA, YUCATÁN. CP 97306</t>
        </is>
      </c>
      <c r="G207" t="n">
        <v>9991518266</v>
      </c>
      <c r="H207" t="inlineStr">
        <is>
          <t>mjtzab@yahoo.com</t>
        </is>
      </c>
      <c r="I207" t="inlineStr">
        <is>
          <t>ESCOPETA SEMIAUTOMATICA</t>
        </is>
      </c>
      <c r="J207" t="inlineStr">
        <is>
          <t>12 GA</t>
        </is>
      </c>
      <c r="K207" t="inlineStr">
        <is>
          <t>MOSSBERG</t>
        </is>
      </c>
      <c r="L207" t="inlineStr">
        <is>
          <t>930</t>
        </is>
      </c>
      <c r="M207" t="inlineStr">
        <is>
          <t>AF0056147</t>
        </is>
      </c>
      <c r="N207" t="inlineStr">
        <is>
          <t>A3771503</t>
        </is>
      </c>
      <c r="P207" t="n">
        <v>1</v>
      </c>
    </row>
    <row r="208">
      <c r="A208" t="n">
        <v>738</v>
      </c>
      <c r="B208" t="inlineStr">
        <is>
          <t>CALLE 50 No. 531-E x 69 y 71, CENTRO, 97000 MÉRIDA, YUC.</t>
        </is>
      </c>
      <c r="C208" t="inlineStr">
        <is>
          <t>203. MANUEL JESÚS TZAB CHUC</t>
        </is>
      </c>
      <c r="D208" t="inlineStr">
        <is>
          <t>TACM750410HYNZHN05</t>
        </is>
      </c>
      <c r="E208">
        <f>E253+1</f>
        <v/>
      </c>
      <c r="F208" t="inlineStr">
        <is>
          <t>C. 103 # 624 X 142 Y 144, FRACC. LOS HEROES. MÉRIDA, YUCATÁN. CP 97306</t>
        </is>
      </c>
      <c r="G208" t="n">
        <v>9991518266</v>
      </c>
      <c r="H208" t="inlineStr">
        <is>
          <t>mjtzab@yahoo.com</t>
        </is>
      </c>
      <c r="I208" t="inlineStr">
        <is>
          <t>ESCOPETA SEMIAUTOMATICA</t>
        </is>
      </c>
      <c r="J208" t="inlineStr">
        <is>
          <t>20 GA</t>
        </is>
      </c>
      <c r="K208" t="inlineStr">
        <is>
          <t>MOSSBERG</t>
        </is>
      </c>
      <c r="L208" t="inlineStr">
        <is>
          <t>SA-20</t>
        </is>
      </c>
      <c r="M208" t="inlineStr">
        <is>
          <t>KA39879</t>
        </is>
      </c>
      <c r="N208" t="inlineStr">
        <is>
          <t>A3771504</t>
        </is>
      </c>
      <c r="P208" t="n">
        <v>1</v>
      </c>
    </row>
    <row r="209">
      <c r="A209" t="n">
        <v>738</v>
      </c>
      <c r="B209" t="inlineStr">
        <is>
          <t>CALLE 50 No. 531-E x 69 y 71, CENTRO, 97000 MÉRIDA, YUC.</t>
        </is>
      </c>
      <c r="C209" t="inlineStr">
        <is>
          <t>203. MANUEL JESÚS TZAB CHUC</t>
        </is>
      </c>
      <c r="D209" t="inlineStr">
        <is>
          <t>TACM750410HYNZHN05</t>
        </is>
      </c>
      <c r="E209">
        <f>E253+1</f>
        <v/>
      </c>
      <c r="F209" t="inlineStr">
        <is>
          <t>C. 103 # 624 X 142 Y 144, FRACC. LOS HEROES. MÉRIDA, YUCATÁN. CP 97306</t>
        </is>
      </c>
      <c r="G209" t="n">
        <v>9991518266</v>
      </c>
      <c r="H209" t="inlineStr">
        <is>
          <t>mjtzab@yahoo.com</t>
        </is>
      </c>
      <c r="I209" t="inlineStr">
        <is>
          <t>PISTOLA</t>
        </is>
      </c>
      <c r="J209" t="inlineStr">
        <is>
          <t>.22"</t>
        </is>
      </c>
      <c r="K209" t="inlineStr">
        <is>
          <t>SIG SAUER</t>
        </is>
      </c>
      <c r="L209" t="inlineStr">
        <is>
          <t>SIN</t>
        </is>
      </c>
      <c r="M209" t="inlineStr">
        <is>
          <t>73A076600</t>
        </is>
      </c>
      <c r="N209" t="inlineStr">
        <is>
          <t>A3788078</t>
        </is>
      </c>
      <c r="O209" t="n">
        <v>1</v>
      </c>
    </row>
    <row r="210">
      <c r="A210" t="n">
        <v>738</v>
      </c>
      <c r="B210" t="inlineStr">
        <is>
          <t>CALLE 50 No. 531-E x 69 y 71, CENTRO, 97000 MÉRIDA, YUC.</t>
        </is>
      </c>
      <c r="C210" t="inlineStr">
        <is>
          <t>204. ARIEL ANTONIO PAREDES CETINA</t>
        </is>
      </c>
      <c r="D210" t="inlineStr">
        <is>
          <t>PACA840803HYNRTR08</t>
        </is>
      </c>
      <c r="E210">
        <f>E259+1</f>
        <v/>
      </c>
      <c r="F210" t="inlineStr">
        <is>
          <t>CALLE 129 NO. 584 X 138 Y 140
FRACC LOS HEROES
MÉRIDA, YUCATÁN CP 97306</t>
        </is>
      </c>
      <c r="G210" t="n">
        <v>9994912883</v>
      </c>
      <c r="H210" t="inlineStr">
        <is>
          <t>lic.arielparedescetina@hotmail.com</t>
        </is>
      </c>
      <c r="I210" t="inlineStr">
        <is>
          <t>PISTOLA</t>
        </is>
      </c>
      <c r="J210" t="inlineStr">
        <is>
          <t>.380"</t>
        </is>
      </c>
      <c r="K210" t="inlineStr">
        <is>
          <t>CESKA ZBROJOVKA</t>
        </is>
      </c>
      <c r="L210" t="inlineStr">
        <is>
          <t>CZ SHADOW 2</t>
        </is>
      </c>
      <c r="M210" t="inlineStr">
        <is>
          <t>FP39978</t>
        </is>
      </c>
      <c r="N210" t="inlineStr">
        <is>
          <t>A3897242</t>
        </is>
      </c>
      <c r="O210" t="n">
        <v>1</v>
      </c>
    </row>
    <row r="211">
      <c r="A211" t="n">
        <v>738</v>
      </c>
      <c r="B211" t="inlineStr">
        <is>
          <t>CALLE 50 No. 531-E x 69 y 71, CENTRO, 97000 MÉRIDA, YUC.</t>
        </is>
      </c>
      <c r="C211" t="inlineStr">
        <is>
          <t>204. ARIEL ANTONIO PAREDES CETINA</t>
        </is>
      </c>
      <c r="D211" t="inlineStr">
        <is>
          <t>PACA840803HYNRTR08</t>
        </is>
      </c>
      <c r="E211">
        <f>E259+1</f>
        <v/>
      </c>
      <c r="F211" t="inlineStr">
        <is>
          <t>CALLE 129 NO. 584 X 138 Y 140
FRACC LOS HEROES
MÉRIDA, YUCATÁN CP 97306</t>
        </is>
      </c>
      <c r="G211" t="n">
        <v>9994912883</v>
      </c>
      <c r="H211" t="inlineStr">
        <is>
          <t>lic.arielparedescetina@hotmail.com</t>
        </is>
      </c>
      <c r="I211" t="inlineStr">
        <is>
          <t>PISTOLA</t>
        </is>
      </c>
      <c r="J211" t="inlineStr">
        <is>
          <t>.380"</t>
        </is>
      </c>
      <c r="K211" t="inlineStr">
        <is>
          <t>CESKA ZBROJOVKA</t>
        </is>
      </c>
      <c r="L211" t="inlineStr">
        <is>
          <t>CZ SHADOW 2</t>
        </is>
      </c>
      <c r="M211" t="inlineStr">
        <is>
          <t>FP39973</t>
        </is>
      </c>
      <c r="N211" t="inlineStr">
        <is>
          <t>A3897243</t>
        </is>
      </c>
      <c r="O211" t="n">
        <v>1</v>
      </c>
    </row>
    <row r="212">
      <c r="A212" t="n">
        <v>738</v>
      </c>
      <c r="B212" t="inlineStr">
        <is>
          <t>CALLE 50 No. 531-E x 69 y 71, CENTRO, 97000 MÉRIDA, YUC.</t>
        </is>
      </c>
      <c r="C212" t="inlineStr">
        <is>
          <t>204. ARIEL ANTONIO PAREDES CETINA</t>
        </is>
      </c>
      <c r="D212" t="inlineStr">
        <is>
          <t>PACA840803HYNRTR08</t>
        </is>
      </c>
      <c r="E212">
        <f>E259+1</f>
        <v/>
      </c>
      <c r="F212" t="inlineStr">
        <is>
          <t>CALLE 129 NO. 584 X 138 Y 140
FRACC LOS HEROES
MÉRIDA, YUCATÁN CP 97306</t>
        </is>
      </c>
      <c r="G212" t="n">
        <v>9994912883</v>
      </c>
      <c r="H212" t="inlineStr">
        <is>
          <t>lic.arielparedescetina@hotmail.com</t>
        </is>
      </c>
      <c r="I212" t="inlineStr">
        <is>
          <t>PISTOLA</t>
        </is>
      </c>
      <c r="J212" t="inlineStr">
        <is>
          <t>.380"</t>
        </is>
      </c>
      <c r="K212" t="inlineStr">
        <is>
          <t>CESKA ZBROJOVKA</t>
        </is>
      </c>
      <c r="L212" t="inlineStr">
        <is>
          <t>CZ P-10 C</t>
        </is>
      </c>
      <c r="M212" t="inlineStr">
        <is>
          <t>EP29318</t>
        </is>
      </c>
      <c r="N212" t="inlineStr">
        <is>
          <t>A3897245</t>
        </is>
      </c>
      <c r="O212" t="n">
        <v>1</v>
      </c>
    </row>
    <row r="213">
      <c r="A213" t="n">
        <v>738</v>
      </c>
      <c r="B213" t="inlineStr">
        <is>
          <t>CALLE 50 No. 531-E x 69 y 71, CENTRO, 97000 MÉRIDA, YUC.</t>
        </is>
      </c>
      <c r="C213" t="inlineStr">
        <is>
          <t>205. RICARDO ERNESTO CASTILLO MANCERA</t>
        </is>
      </c>
      <c r="D213" t="inlineStr">
        <is>
          <t>CAMR840315HYNSNC08</t>
        </is>
      </c>
      <c r="E213">
        <f>E263+1</f>
        <v/>
      </c>
      <c r="F213" t="inlineStr">
        <is>
          <t>CARR MÉRIDA PROGRESO KM 10.5 
TABLAJE 19153, TEMOZON NTE 
C.P. 97300. MÉRIDA, YUC.</t>
        </is>
      </c>
      <c r="G213" t="n">
        <v>9901011913</v>
      </c>
      <c r="H213" t="inlineStr">
        <is>
          <t>dr.ricardocastillo@me.com</t>
        </is>
      </c>
      <c r="I213" t="inlineStr">
        <is>
          <t>PISTOLA</t>
        </is>
      </c>
      <c r="J213" t="inlineStr">
        <is>
          <t>.380"</t>
        </is>
      </c>
      <c r="K213" t="inlineStr">
        <is>
          <t>CESKA ZBROJOVKA</t>
        </is>
      </c>
      <c r="L213" t="inlineStr">
        <is>
          <t>CZ SHADOW 2</t>
        </is>
      </c>
      <c r="M213" t="inlineStr">
        <is>
          <t>EP34718</t>
        </is>
      </c>
      <c r="N213" t="inlineStr">
        <is>
          <t>A3880033</t>
        </is>
      </c>
      <c r="O213" t="n">
        <v>1</v>
      </c>
      <c r="P213" t="n">
        <v>0</v>
      </c>
    </row>
    <row r="214">
      <c r="A214" t="n">
        <v>738</v>
      </c>
      <c r="B214" t="inlineStr">
        <is>
          <t>CALLE 50 No. 531-E x 69 y 71, CENTRO, 97000 MÉRIDA, YUC.</t>
        </is>
      </c>
      <c r="C214" t="inlineStr">
        <is>
          <t>205. RICARDO ERNESTO CASTILLO MANCERA</t>
        </is>
      </c>
      <c r="D214" t="inlineStr">
        <is>
          <t>CAMR840315HYNSNC08</t>
        </is>
      </c>
      <c r="E214">
        <f>E263+1</f>
        <v/>
      </c>
      <c r="F214" t="inlineStr">
        <is>
          <t>CARR MÉRIDA PROGRESO KM 10.5 
TABLAJE 19153, TEMOZON NTE 
C.P. 97300. MÉRIDA, YUC.</t>
        </is>
      </c>
      <c r="G214" t="n">
        <v>9901011913</v>
      </c>
      <c r="H214" t="inlineStr">
        <is>
          <t>dr.ricardocastillo@me.com</t>
        </is>
      </c>
      <c r="I214" t="inlineStr">
        <is>
          <t>RIFLE</t>
        </is>
      </c>
      <c r="J214" t="inlineStr">
        <is>
          <t>.22"</t>
        </is>
      </c>
      <c r="K214" t="inlineStr">
        <is>
          <t>CZ</t>
        </is>
      </c>
      <c r="L214" t="inlineStr">
        <is>
          <t>CZ 457</t>
        </is>
      </c>
      <c r="M214" t="inlineStr">
        <is>
          <t>H228675</t>
        </is>
      </c>
      <c r="N214" t="inlineStr">
        <is>
          <t>A3880038</t>
        </is>
      </c>
      <c r="O214" t="n">
        <v>0</v>
      </c>
      <c r="P214" t="n">
        <v>1</v>
      </c>
    </row>
    <row r="215">
      <c r="A215" t="n">
        <v>738</v>
      </c>
      <c r="B215" t="inlineStr">
        <is>
          <t>CALLE 50 No. 531-E x 69 y 71, CENTRO, 97000 MÉRIDA, YUC.</t>
        </is>
      </c>
      <c r="C215" t="inlineStr">
        <is>
          <t>209. MARIA DOLORES DAVIS BETANZOS</t>
        </is>
      </c>
      <c r="D215" t="inlineStr">
        <is>
          <t>DABD900923MDFVTL03</t>
        </is>
      </c>
      <c r="E215">
        <f>E270+1</f>
        <v/>
      </c>
      <c r="F215" t="inlineStr">
        <is>
          <t>TABLAJE 13037 DEPTO, 19 GRAND VIEW 6 Y 8
CHOLUL, MÉRIDA, YUCATÁN, C.P. 97305</t>
        </is>
      </c>
      <c r="G215" t="n">
        <v>5543900616</v>
      </c>
      <c r="H215" t="inlineStr">
        <is>
          <t>lolita@concepthaus.mx</t>
        </is>
      </c>
      <c r="I215" t="inlineStr">
        <is>
          <t>RIFLE DE REPETICIÓN</t>
        </is>
      </c>
      <c r="J215" t="inlineStr">
        <is>
          <t>25-35</t>
        </is>
      </c>
      <c r="K215" t="inlineStr">
        <is>
          <t>WINCHESTER</t>
        </is>
      </c>
      <c r="L215" t="inlineStr">
        <is>
          <t>1894</t>
        </is>
      </c>
      <c r="M215" t="n">
        <v>373343</v>
      </c>
      <c r="N215" t="inlineStr">
        <is>
          <t>B612055</t>
        </is>
      </c>
      <c r="O215" t="n">
        <v>0</v>
      </c>
      <c r="P215" t="n">
        <v>1</v>
      </c>
    </row>
    <row r="216">
      <c r="A216" t="n">
        <v>738</v>
      </c>
      <c r="B216" t="inlineStr">
        <is>
          <t>CALLE 50 No. 531-E x 69 y 71, CENTRO, 97000 MÉRIDA, YUC.</t>
        </is>
      </c>
      <c r="C216" t="inlineStr">
        <is>
          <t>209. MARIA DOLORES DAVIS BETANZOS</t>
        </is>
      </c>
      <c r="D216" t="inlineStr">
        <is>
          <t>DABD900923MDFVTL03</t>
        </is>
      </c>
      <c r="E216">
        <f>E270+1</f>
        <v/>
      </c>
      <c r="F216" t="inlineStr">
        <is>
          <t>TABLAJE 13037 DEPTO, 19 GRAND VIEW 6 Y 8
CHOLUL, MÉRIDA, YUCATÁN, C.P. 97305</t>
        </is>
      </c>
      <c r="G216" t="n">
        <v>5543900616</v>
      </c>
      <c r="H216" t="inlineStr">
        <is>
          <t>lolita@concepthaus.mx</t>
        </is>
      </c>
      <c r="I216" t="inlineStr">
        <is>
          <t>PISTOLA</t>
        </is>
      </c>
      <c r="J216" t="inlineStr">
        <is>
          <t>.22" L.R.</t>
        </is>
      </c>
      <c r="K216" t="inlineStr">
        <is>
          <t>COLT</t>
        </is>
      </c>
      <c r="L216" t="inlineStr">
        <is>
          <t>GOVERNMENT</t>
        </is>
      </c>
      <c r="M216" t="inlineStr">
        <is>
          <t>70S22023</t>
        </is>
      </c>
      <c r="N216" t="inlineStr">
        <is>
          <t>B612056</t>
        </is>
      </c>
      <c r="O216" t="n">
        <v>1</v>
      </c>
      <c r="P216" t="n">
        <v>0</v>
      </c>
    </row>
    <row r="217">
      <c r="A217" t="n">
        <v>738</v>
      </c>
      <c r="B217" t="inlineStr">
        <is>
          <t>CALLE 50 No. 531-E x 69 y 71, CENTRO, 97000 MÉRIDA, YUC.</t>
        </is>
      </c>
      <c r="C217" t="inlineStr">
        <is>
          <t>209. MARIA DOLORES DAVIS BETANZOS</t>
        </is>
      </c>
      <c r="D217" t="inlineStr">
        <is>
          <t>DABD900923MDFVTL03</t>
        </is>
      </c>
      <c r="E217">
        <f>E270+1</f>
        <v/>
      </c>
      <c r="F217" t="inlineStr">
        <is>
          <t>TABLAJE 13037 DEPTO, 19 GRAND VIEW 6 Y 8
CHOLUL, MÉRIDA, YUCATÁN, C.P. 97305</t>
        </is>
      </c>
      <c r="G217" t="n">
        <v>5543900616</v>
      </c>
      <c r="H217" t="inlineStr">
        <is>
          <t>lolita@concepthaus.mx</t>
        </is>
      </c>
      <c r="I217" t="inlineStr">
        <is>
          <t>RIFLE SEMI-AUTOM ÁTICO</t>
        </is>
      </c>
      <c r="J217" t="inlineStr">
        <is>
          <t>.22" L.R.</t>
        </is>
      </c>
      <c r="K217" t="inlineStr">
        <is>
          <t>REMINGTON</t>
        </is>
      </c>
      <c r="L217" t="inlineStr">
        <is>
          <t>552</t>
        </is>
      </c>
      <c r="M217" t="inlineStr">
        <is>
          <t>A1790332</t>
        </is>
      </c>
      <c r="N217" t="inlineStr">
        <is>
          <t>B612057</t>
        </is>
      </c>
      <c r="O217" t="n">
        <v>0</v>
      </c>
      <c r="P217" t="n">
        <v>1</v>
      </c>
    </row>
    <row r="218">
      <c r="A218" t="n">
        <v>738</v>
      </c>
      <c r="B218" t="inlineStr">
        <is>
          <t>CALLE 50 No. 531-E x 69 y 71, CENTRO, 97000 MÉRIDA, YUC.</t>
        </is>
      </c>
      <c r="C218" t="inlineStr">
        <is>
          <t>209. MARIA DOLORES DAVIS BETANZOS</t>
        </is>
      </c>
      <c r="D218" t="inlineStr">
        <is>
          <t>DABD900923MDFVTL03</t>
        </is>
      </c>
      <c r="E218">
        <f>E270+1</f>
        <v/>
      </c>
      <c r="F218" t="inlineStr">
        <is>
          <t>TABLAJE 13037 DEPTO, 19 GRAND VIEW 6 Y 8
CHOLUL, MÉRIDA, YUCATÁN, C.P. 97305</t>
        </is>
      </c>
      <c r="G218" t="n">
        <v>5543900616</v>
      </c>
      <c r="H218" t="inlineStr">
        <is>
          <t>lolita@concepthaus.mx</t>
        </is>
      </c>
      <c r="I218" t="inlineStr">
        <is>
          <t>ESCOPETA DOS CAÑONES</t>
        </is>
      </c>
      <c r="J218" t="inlineStr">
        <is>
          <t>16 GA</t>
        </is>
      </c>
      <c r="K218" t="inlineStr">
        <is>
          <t>BERETTA</t>
        </is>
      </c>
      <c r="L218" t="inlineStr">
        <is>
          <t>N/A</t>
        </is>
      </c>
      <c r="M218" t="n">
        <v>92070</v>
      </c>
      <c r="N218" t="inlineStr">
        <is>
          <t>B612058</t>
        </is>
      </c>
      <c r="O218" t="n">
        <v>0</v>
      </c>
      <c r="P218" t="n">
        <v>1</v>
      </c>
    </row>
    <row r="219">
      <c r="A219" t="n">
        <v>738</v>
      </c>
      <c r="B219" t="inlineStr">
        <is>
          <t>CALLE 50 No. 531-E x 69 y 71, CENTRO, 97000 MÉRIDA, YUC.</t>
        </is>
      </c>
      <c r="C219" t="inlineStr">
        <is>
          <t>209. MARIA DOLORES DAVIS BETANZOS</t>
        </is>
      </c>
      <c r="D219" t="inlineStr">
        <is>
          <t>DABD900923MDFVTL03</t>
        </is>
      </c>
      <c r="E219">
        <f>E270+1</f>
        <v/>
      </c>
      <c r="F219" t="inlineStr">
        <is>
          <t>TABLAJE 13037 DEPTO, 19 GRAND VIEW 6 Y 8
CHOLUL, MÉRIDA, YUCATÁN, C.P. 97305</t>
        </is>
      </c>
      <c r="G219" t="n">
        <v>5543900616</v>
      </c>
      <c r="H219" t="inlineStr">
        <is>
          <t>lolita@concepthaus.mx</t>
        </is>
      </c>
      <c r="I219" t="inlineStr">
        <is>
          <t>RIFLE DE REPETICIÓN</t>
        </is>
      </c>
      <c r="J219" t="inlineStr">
        <is>
          <t>.243" WIN</t>
        </is>
      </c>
      <c r="K219" t="inlineStr">
        <is>
          <t>SAVAGE</t>
        </is>
      </c>
      <c r="L219" t="inlineStr">
        <is>
          <t>110</t>
        </is>
      </c>
      <c r="M219" t="inlineStr">
        <is>
          <t>C347639</t>
        </is>
      </c>
      <c r="N219" t="inlineStr">
        <is>
          <t>B612060</t>
        </is>
      </c>
      <c r="O219" t="n">
        <v>0</v>
      </c>
      <c r="P219" t="n">
        <v>1</v>
      </c>
    </row>
    <row r="220">
      <c r="A220" t="n">
        <v>738</v>
      </c>
      <c r="B220" t="inlineStr">
        <is>
          <t>CALLE 50 No. 531-E x 69 y 71, CENTRO, 97000 MÉRIDA, YUC.</t>
        </is>
      </c>
      <c r="C220" t="inlineStr">
        <is>
          <t>210. SANTIAGO LAMAS RINGENBACH</t>
        </is>
      </c>
      <c r="D220" t="inlineStr">
        <is>
          <t>LARS970906HYNMNN09</t>
        </is>
      </c>
      <c r="E220">
        <f>E272+1</f>
        <v/>
      </c>
      <c r="F220" t="inlineStr">
        <is>
          <t>CALLE 22 X 15 # 94-A 
CHOLUL, MÉRIDA, YUCATÁN, CP 97305</t>
        </is>
      </c>
      <c r="G220" t="n">
        <v>9993359825</v>
      </c>
      <c r="H220" t="inlineStr">
        <is>
          <t>santiago100100@hotmail.com</t>
        </is>
      </c>
      <c r="I220" t="inlineStr">
        <is>
          <t>ESCOPETA</t>
        </is>
      </c>
      <c r="J220" t="inlineStr">
        <is>
          <t>12 GA</t>
        </is>
      </c>
      <c r="K220" t="inlineStr">
        <is>
          <t>ATA ARMS</t>
        </is>
      </c>
      <c r="L220" t="inlineStr">
        <is>
          <t>MAX 5</t>
        </is>
      </c>
      <c r="M220" t="inlineStr">
        <is>
          <t>16/D09919</t>
        </is>
      </c>
      <c r="N220" t="inlineStr">
        <is>
          <t>B 613229</t>
        </is>
      </c>
      <c r="O220" t="n">
        <v>0</v>
      </c>
      <c r="P220" t="n">
        <v>1</v>
      </c>
    </row>
    <row r="221">
      <c r="A221" t="n">
        <v>738</v>
      </c>
      <c r="B221" t="inlineStr">
        <is>
          <t>CALLE 50 No. 531-E x 69 y 71, CENTRO, 97000 MÉRIDA, YUC.</t>
        </is>
      </c>
      <c r="C221" t="inlineStr">
        <is>
          <t>210. SANTIAGO LAMAS RINGENBACH</t>
        </is>
      </c>
      <c r="D221" t="inlineStr">
        <is>
          <t>LARS970906HYNMNN09</t>
        </is>
      </c>
      <c r="E221">
        <f>E272+1</f>
        <v/>
      </c>
      <c r="F221" t="inlineStr">
        <is>
          <t>CALLE 22 X 15 # 94-A 
CHOLUL, MÉRIDA, YUCATÁN, CP 97305</t>
        </is>
      </c>
      <c r="G221" t="n">
        <v>9993359825</v>
      </c>
      <c r="H221" t="inlineStr">
        <is>
          <t>santiago100100@hotmail.com</t>
        </is>
      </c>
      <c r="I221" t="inlineStr">
        <is>
          <t>ESCOPETA</t>
        </is>
      </c>
      <c r="J221" t="inlineStr">
        <is>
          <t>12 GA</t>
        </is>
      </c>
      <c r="K221" t="inlineStr">
        <is>
          <t>BROWNING</t>
        </is>
      </c>
      <c r="L221" t="inlineStr">
        <is>
          <t>WHITE LIGHTNING</t>
        </is>
      </c>
      <c r="M221" t="inlineStr">
        <is>
          <t>10847MN</t>
        </is>
      </c>
      <c r="N221" t="inlineStr">
        <is>
          <t>B 613225</t>
        </is>
      </c>
      <c r="O221" t="n">
        <v>0</v>
      </c>
      <c r="P221" t="n">
        <v>1</v>
      </c>
    </row>
    <row r="222">
      <c r="A222" t="n">
        <v>738</v>
      </c>
      <c r="B222" t="inlineStr">
        <is>
          <t>CALLE 50 No. 531-E x 69 y 71, CENTRO, 97000 MÉRIDA, YUC.</t>
        </is>
      </c>
      <c r="C222" t="inlineStr">
        <is>
          <t>210. SANTIAGO LAMAS RINGENBACH</t>
        </is>
      </c>
      <c r="D222" t="inlineStr">
        <is>
          <t>LARS970906HYNMNN09</t>
        </is>
      </c>
      <c r="E222">
        <f>E272+1</f>
        <v/>
      </c>
      <c r="F222" t="inlineStr">
        <is>
          <t>CALLE 22 X 15 # 94-A 
CHOLUL, MÉRIDA, YUCATÁN, CP 97305</t>
        </is>
      </c>
      <c r="G222" t="n">
        <v>9993359825</v>
      </c>
      <c r="H222" t="inlineStr">
        <is>
          <t>santiago100100@hotmail.com</t>
        </is>
      </c>
      <c r="I222" t="inlineStr">
        <is>
          <t>ESCOPETA</t>
        </is>
      </c>
      <c r="J222" t="inlineStr">
        <is>
          <t>12 GA</t>
        </is>
      </c>
      <c r="K222" t="inlineStr">
        <is>
          <t>BROWNING</t>
        </is>
      </c>
      <c r="L222" t="inlineStr">
        <is>
          <t>MAXUS</t>
        </is>
      </c>
      <c r="M222" t="inlineStr">
        <is>
          <t>115ZM17757</t>
        </is>
      </c>
      <c r="N222" t="inlineStr">
        <is>
          <t>B 613228</t>
        </is>
      </c>
      <c r="O222" t="n">
        <v>0</v>
      </c>
      <c r="P222" t="n">
        <v>1</v>
      </c>
    </row>
    <row r="223">
      <c r="A223" t="n">
        <v>738</v>
      </c>
      <c r="B223" t="inlineStr">
        <is>
          <t>CALLE 50 No. 531-E x 69 y 71, CENTRO, 97000 MÉRIDA, YUC.</t>
        </is>
      </c>
      <c r="C223" t="inlineStr">
        <is>
          <t>210. SANTIAGO LAMAS RINGENBACH</t>
        </is>
      </c>
      <c r="D223" t="inlineStr">
        <is>
          <t>LARS970906HYNMNN09</t>
        </is>
      </c>
      <c r="E223">
        <f>E272+1</f>
        <v/>
      </c>
      <c r="F223" t="inlineStr">
        <is>
          <t>CALLE 22 X 15 # 94-A 
CHOLUL, MÉRIDA, YUCATÁN, CP 97305</t>
        </is>
      </c>
      <c r="G223" t="n">
        <v>9993359825</v>
      </c>
      <c r="H223" t="inlineStr">
        <is>
          <t>santiago100100@hotmail.com</t>
        </is>
      </c>
      <c r="I223" t="inlineStr">
        <is>
          <t>ESCOPETA</t>
        </is>
      </c>
      <c r="J223" t="inlineStr">
        <is>
          <t>12 GA</t>
        </is>
      </c>
      <c r="K223" t="inlineStr">
        <is>
          <t>BROWNING</t>
        </is>
      </c>
      <c r="L223" t="inlineStr">
        <is>
          <t>FUSION EVOLVE</t>
        </is>
      </c>
      <c r="M223" t="inlineStr">
        <is>
          <t>113MP16287</t>
        </is>
      </c>
      <c r="N223" t="inlineStr">
        <is>
          <t>B 613227</t>
        </is>
      </c>
      <c r="O223" t="n">
        <v>0</v>
      </c>
      <c r="P223" t="n">
        <v>1</v>
      </c>
    </row>
    <row r="224">
      <c r="A224" t="n">
        <v>738</v>
      </c>
      <c r="B224" t="inlineStr">
        <is>
          <t>CALLE 50 No. 531-E x 69 y 71, CENTRO, 97000 MÉRIDA, YUC.</t>
        </is>
      </c>
      <c r="C224" t="inlineStr">
        <is>
          <t>210. SANTIAGO LAMAS RINGENBACH</t>
        </is>
      </c>
      <c r="D224" t="inlineStr">
        <is>
          <t>LARS970906HYNMNN09</t>
        </is>
      </c>
      <c r="E224">
        <f>E272+1</f>
        <v/>
      </c>
      <c r="F224" t="inlineStr">
        <is>
          <t>CALLE 22 X 15 # 94-A 
CHOLUL, MÉRIDA, YUCATÁN, CP 97305</t>
        </is>
      </c>
      <c r="G224" t="n">
        <v>9993359825</v>
      </c>
      <c r="H224" t="inlineStr">
        <is>
          <t>santiago100100@hotmail.com</t>
        </is>
      </c>
      <c r="I224" t="inlineStr">
        <is>
          <t>ESCOPETA</t>
        </is>
      </c>
      <c r="J224" t="inlineStr">
        <is>
          <t>20 GA</t>
        </is>
      </c>
      <c r="K224" t="inlineStr">
        <is>
          <t>BROWNING</t>
        </is>
      </c>
      <c r="L224" t="inlineStr">
        <is>
          <t>SILVER HUNTER</t>
        </is>
      </c>
      <c r="M224" t="inlineStr">
        <is>
          <t>114ZM05238</t>
        </is>
      </c>
      <c r="N224" t="inlineStr">
        <is>
          <t>B 613226</t>
        </is>
      </c>
      <c r="O224" t="n">
        <v>0</v>
      </c>
      <c r="P224" t="n">
        <v>1</v>
      </c>
    </row>
    <row r="225">
      <c r="A225" t="n">
        <v>738</v>
      </c>
      <c r="B225" t="inlineStr">
        <is>
          <t>CALLE 50 No. 531-E x 69 y 71, CENTRO, 97000 MÉRIDA, YUC.</t>
        </is>
      </c>
      <c r="C225" t="inlineStr">
        <is>
          <t>210. SANTIAGO LAMAS RINGENBACH</t>
        </is>
      </c>
      <c r="D225" t="inlineStr">
        <is>
          <t>LARS970906HYNMNN09</t>
        </is>
      </c>
      <c r="E225">
        <f>E272+1</f>
        <v/>
      </c>
      <c r="F225" t="inlineStr">
        <is>
          <t>CALLE 22 X 15 # 94-A 
CHOLUL, MÉRIDA, YUCATÁN, CP 97305</t>
        </is>
      </c>
      <c r="G225" t="n">
        <v>9993359825</v>
      </c>
      <c r="H225" t="inlineStr">
        <is>
          <t>santiago100100@hotmail.com</t>
        </is>
      </c>
      <c r="I225" t="inlineStr">
        <is>
          <t>PISTOLA</t>
        </is>
      </c>
      <c r="J225" t="inlineStr">
        <is>
          <t>0.22"</t>
        </is>
      </c>
      <c r="K225" t="inlineStr">
        <is>
          <t>COLT</t>
        </is>
      </c>
      <c r="L225" t="inlineStr">
        <is>
          <t>WOODSMAN</t>
        </is>
      </c>
      <c r="M225" t="inlineStr">
        <is>
          <t>32288-S</t>
        </is>
      </c>
      <c r="N225" t="inlineStr">
        <is>
          <t>B 612475</t>
        </is>
      </c>
      <c r="O225" t="n">
        <v>1</v>
      </c>
      <c r="P225" t="n">
        <v>0</v>
      </c>
    </row>
    <row r="226">
      <c r="A226" t="n">
        <v>738</v>
      </c>
      <c r="B226" t="inlineStr">
        <is>
          <t>CALLE 50 No. 531-E x 69 y 71, CENTRO, 97000 MÉRIDA, YUC.</t>
        </is>
      </c>
      <c r="C226" t="inlineStr">
        <is>
          <t>211. ERNESTO GONZALEZ PICCOLO</t>
        </is>
      </c>
      <c r="D226" t="inlineStr">
        <is>
          <t>GOPE850306HDFNCR03</t>
        </is>
      </c>
      <c r="E226">
        <f>E278+1</f>
        <v/>
      </c>
      <c r="F226" t="inlineStr">
        <is>
          <t>C 40 POR 67 Y 69 234
COL MONTES DE AME. MÉRIDA, YUC. CP 97115</t>
        </is>
      </c>
      <c r="G226" t="n">
        <v>9995328570</v>
      </c>
      <c r="H226" t="inlineStr">
        <is>
          <t>egpiccolo@gmail.com</t>
        </is>
      </c>
      <c r="I226" t="inlineStr">
        <is>
          <t>PISTOLA</t>
        </is>
      </c>
      <c r="J226" t="inlineStr">
        <is>
          <t>0.22"</t>
        </is>
      </c>
      <c r="K226" t="inlineStr">
        <is>
          <t>STAR</t>
        </is>
      </c>
      <c r="L226" t="inlineStr">
        <is>
          <t>SIN</t>
        </is>
      </c>
      <c r="M226" t="n">
        <v>808223</v>
      </c>
      <c r="N226" t="inlineStr">
        <is>
          <t>A 3862440</t>
        </is>
      </c>
      <c r="O226" t="n">
        <v>1</v>
      </c>
      <c r="P226" t="n">
        <v>0</v>
      </c>
    </row>
    <row r="227">
      <c r="A227" t="n">
        <v>738</v>
      </c>
      <c r="B227" t="inlineStr">
        <is>
          <t>CALLE 50 No. 531-E x 69 y 71, CENTRO, 97000 MÉRIDA, YUC.</t>
        </is>
      </c>
      <c r="C227" t="inlineStr">
        <is>
          <t>211. ERNESTO GONZALEZ PICCOLO</t>
        </is>
      </c>
      <c r="D227" t="inlineStr">
        <is>
          <t>GOPE850306HDFNCR03</t>
        </is>
      </c>
      <c r="E227">
        <f>E278+1</f>
        <v/>
      </c>
      <c r="F227" t="inlineStr">
        <is>
          <t>C 40 POR 67 Y 69 234
COL MONTES DE AME. MÉRIDA, YUC. CP 97115</t>
        </is>
      </c>
      <c r="G227" t="n">
        <v>9995328570</v>
      </c>
      <c r="H227" t="inlineStr">
        <is>
          <t>egpiccolo@gmail.com</t>
        </is>
      </c>
      <c r="I227" t="inlineStr">
        <is>
          <t>ESCOPETA</t>
        </is>
      </c>
      <c r="J227" t="inlineStr">
        <is>
          <t>12 GA</t>
        </is>
      </c>
      <c r="K227" t="inlineStr">
        <is>
          <t>REMINGTON</t>
        </is>
      </c>
      <c r="L227" t="inlineStr">
        <is>
          <t>SPR310</t>
        </is>
      </c>
      <c r="M227" t="inlineStr">
        <is>
          <t xml:space="preserve">06277749  R </t>
        </is>
      </c>
      <c r="N227" t="inlineStr">
        <is>
          <t>B 613230</t>
        </is>
      </c>
      <c r="O227" t="n">
        <v>0</v>
      </c>
      <c r="P227" t="n">
        <v>1</v>
      </c>
    </row>
    <row r="228">
      <c r="A228" t="n">
        <v>738</v>
      </c>
      <c r="B228" t="inlineStr">
        <is>
          <t>CALLE 50 No. 531-E x 69 y 71, CENTRO, 97000 MÉRIDA, YUC.</t>
        </is>
      </c>
      <c r="C228" t="inlineStr">
        <is>
          <t>211. ERNESTO GONZALEZ PICCOLO</t>
        </is>
      </c>
      <c r="D228" t="inlineStr">
        <is>
          <t>GOPE850306HDFNCR03</t>
        </is>
      </c>
      <c r="E228">
        <f>E278+1</f>
        <v/>
      </c>
      <c r="F228" t="inlineStr">
        <is>
          <t>C 40 POR 67 Y 69 234
COL MONTES DE AME. MÉRIDA, YUC. CP 97115</t>
        </is>
      </c>
      <c r="G228" t="n">
        <v>9995328570</v>
      </c>
      <c r="H228" t="inlineStr">
        <is>
          <t>egpiccolo@gmail.com</t>
        </is>
      </c>
      <c r="I228" t="inlineStr">
        <is>
          <t>ESCOPETA DOS CAÑONES</t>
        </is>
      </c>
      <c r="J228" t="inlineStr">
        <is>
          <t>12 GA</t>
        </is>
      </c>
      <c r="K228" t="inlineStr">
        <is>
          <t>BROWNING</t>
        </is>
      </c>
      <c r="L228" t="inlineStr">
        <is>
          <t>CITORI</t>
        </is>
      </c>
      <c r="M228" t="inlineStr">
        <is>
          <t>108664PT153</t>
        </is>
      </c>
      <c r="N228" t="inlineStr">
        <is>
          <t>B612059</t>
        </is>
      </c>
      <c r="O228" t="n">
        <v>0</v>
      </c>
      <c r="P228" t="n">
        <v>1</v>
      </c>
    </row>
    <row r="229">
      <c r="A229" t="n">
        <v>738</v>
      </c>
      <c r="B229" t="inlineStr">
        <is>
          <t>CALLE 50 No. 531-E x 69 y 71, CENTRO, 97000 MÉRIDA, YUC.</t>
        </is>
      </c>
      <c r="C229" t="inlineStr">
        <is>
          <t>214. GERARDO ANTONIO FERNÁNDEZ QUIJANO</t>
        </is>
      </c>
      <c r="D229" t="inlineStr">
        <is>
          <t>FEQG630819HCCRJR06</t>
        </is>
      </c>
      <c r="E229">
        <f>E289+1</f>
        <v/>
      </c>
      <c r="F229" t="inlineStr">
        <is>
          <t>Circuito Pablo García Oeste # 2, esquina con Eduardo Lavalle. 
Ciudad Concordia. 
Campeche, Campeche. 24085.</t>
        </is>
      </c>
      <c r="G229" t="n">
        <v>9811204947</v>
      </c>
      <c r="H229" t="inlineStr">
        <is>
          <t>gfernandez63@gmail.com</t>
        </is>
      </c>
      <c r="I229" t="inlineStr">
        <is>
          <t>PISTOLA</t>
        </is>
      </c>
      <c r="J229" t="inlineStr">
        <is>
          <t>0.380" ACP.</t>
        </is>
      </c>
      <c r="K229" t="inlineStr">
        <is>
          <t>GRAND POWER</t>
        </is>
      </c>
      <c r="L229" t="inlineStr">
        <is>
          <t>ROXOR</t>
        </is>
      </c>
      <c r="M229" t="inlineStr">
        <is>
          <t>K078901</t>
        </is>
      </c>
      <c r="N229" t="inlineStr">
        <is>
          <t>B 612621</t>
        </is>
      </c>
      <c r="O229" t="n">
        <v>1</v>
      </c>
      <c r="P229" t="n">
        <v>0</v>
      </c>
    </row>
    <row r="230">
      <c r="A230" t="n">
        <v>738</v>
      </c>
      <c r="B230" t="inlineStr">
        <is>
          <t>CALLE 50 No. 531-E x 69 y 71, CENTRO, 97000 MÉRIDA, YUC.</t>
        </is>
      </c>
      <c r="C230" t="inlineStr">
        <is>
          <t>215. RICARDO ALBERTO DESQUENS BONILLA</t>
        </is>
      </c>
      <c r="D230" t="inlineStr">
        <is>
          <t>DEBR700911HDFSNC06</t>
        </is>
      </c>
      <c r="E230">
        <f>E291+1</f>
        <v/>
      </c>
      <c r="F230" t="inlineStr">
        <is>
          <t>Calle 51-C # 643 x 72 y 72-A, Real Montejo, MÉRIDA, YUCATÁN CP 97302</t>
        </is>
      </c>
      <c r="G230" t="n">
        <v>9993940909</v>
      </c>
      <c r="H230" t="inlineStr">
        <is>
          <t>ridesquens@yahoo.com.mx</t>
        </is>
      </c>
      <c r="I230" t="inlineStr">
        <is>
          <t>PISTOLA</t>
        </is>
      </c>
      <c r="J230" t="inlineStr">
        <is>
          <t>.380"</t>
        </is>
      </c>
      <c r="K230" t="inlineStr">
        <is>
          <t>CESKA ZBROJOVKA</t>
        </is>
      </c>
      <c r="L230" t="inlineStr">
        <is>
          <t>CZ SHADOW 2</t>
        </is>
      </c>
      <c r="M230" t="inlineStr">
        <is>
          <t>EP35129</t>
        </is>
      </c>
      <c r="N230" t="inlineStr">
        <is>
          <t>A3888058</t>
        </is>
      </c>
      <c r="O230" t="n">
        <v>1</v>
      </c>
    </row>
    <row r="231">
      <c r="A231" t="n">
        <v>738</v>
      </c>
      <c r="B231" t="inlineStr">
        <is>
          <t>CALLE 50 No. 531-E x 69 y 71, CENTRO, 97000 MÉRIDA, YUC.</t>
        </is>
      </c>
      <c r="C231" t="inlineStr">
        <is>
          <t>215. RICARDO ALBERTO DESQUENS BONILLA</t>
        </is>
      </c>
      <c r="D231" t="inlineStr">
        <is>
          <t>DEBR700911HDFSNC06</t>
        </is>
      </c>
      <c r="E231">
        <f>E291+1</f>
        <v/>
      </c>
      <c r="F231" t="inlineStr">
        <is>
          <t>Calle 51-C # 643 x 72 y 72-A, Real Montejo, MÉRIDA, YUCATÁN CP 97302</t>
        </is>
      </c>
      <c r="G231" t="n">
        <v>9993940909</v>
      </c>
      <c r="H231" t="inlineStr">
        <is>
          <t>ridesquens@yahoo.com.mx</t>
        </is>
      </c>
      <c r="I231" t="inlineStr">
        <is>
          <t>PISTOLA</t>
        </is>
      </c>
      <c r="J231" t="inlineStr">
        <is>
          <t>.380"</t>
        </is>
      </c>
      <c r="K231" t="inlineStr">
        <is>
          <t>CESKA ZBROJOVKA</t>
        </is>
      </c>
      <c r="L231" t="inlineStr">
        <is>
          <t>C Z P-10 C</t>
        </is>
      </c>
      <c r="M231" t="inlineStr">
        <is>
          <t>FP45007</t>
        </is>
      </c>
      <c r="N231" t="inlineStr">
        <is>
          <t>A3928748</t>
        </is>
      </c>
      <c r="O231" t="n">
        <v>1</v>
      </c>
    </row>
    <row r="232">
      <c r="A232" t="n">
        <v>738</v>
      </c>
      <c r="B232" t="inlineStr">
        <is>
          <t>CALLE 50 No. 531-E x 69 y 71, CENTRO, 97000 MÉRIDA, YUC.</t>
        </is>
      </c>
      <c r="C232" t="inlineStr">
        <is>
          <t>215. RICARDO ALBERTO DESQUENS BONILLA</t>
        </is>
      </c>
      <c r="D232" t="inlineStr">
        <is>
          <t>DEBR700911HDFSNC06</t>
        </is>
      </c>
      <c r="E232">
        <f>E291+1</f>
        <v/>
      </c>
      <c r="F232" t="inlineStr">
        <is>
          <t>Calle 51-C # 643 x 72 y 72-A, Real Montejo, MÉRIDA, YUCATÁN CP 97302</t>
        </is>
      </c>
      <c r="G232" t="n">
        <v>9993940909</v>
      </c>
      <c r="H232" t="inlineStr">
        <is>
          <t>ridesquens@yahoo.com.mx</t>
        </is>
      </c>
      <c r="I232" t="inlineStr">
        <is>
          <t>PISTOLA</t>
        </is>
      </c>
      <c r="J232" t="inlineStr">
        <is>
          <t>.22 LR</t>
        </is>
      </c>
      <c r="K232" t="inlineStr">
        <is>
          <t>SIG SAUER</t>
        </is>
      </c>
      <c r="L232" t="inlineStr">
        <is>
          <t>P322</t>
        </is>
      </c>
      <c r="M232" t="inlineStr">
        <is>
          <t>73A191658</t>
        </is>
      </c>
      <c r="N232" t="inlineStr">
        <is>
          <t>A3928749</t>
        </is>
      </c>
      <c r="O232" t="n">
        <v>1</v>
      </c>
    </row>
    <row r="233">
      <c r="A233" t="n">
        <v>738</v>
      </c>
      <c r="B233" t="inlineStr">
        <is>
          <t>CALLE 50 No. 531-E x 69 y 71, CENTRO, 97000 MÉRIDA, YUC.</t>
        </is>
      </c>
      <c r="C233" t="inlineStr">
        <is>
          <t>215. RICARDO ALBERTO DESQUENS BONILLA</t>
        </is>
      </c>
      <c r="D233" t="inlineStr">
        <is>
          <t>DEBR700911HDFSNC06</t>
        </is>
      </c>
      <c r="E233">
        <f>E291+1</f>
        <v/>
      </c>
      <c r="F233" t="inlineStr">
        <is>
          <t>Calle 51-C # 643 x 72 y 72-A, Real Montejo, MÉRIDA, YUCATÁN CP 97302</t>
        </is>
      </c>
      <c r="G233" t="n">
        <v>9993940909</v>
      </c>
      <c r="H233" t="inlineStr">
        <is>
          <t>ridesquens@yahoo.com.mx</t>
        </is>
      </c>
      <c r="I233" t="inlineStr">
        <is>
          <t>RIFLE SEMI-AUTOMÁTICO</t>
        </is>
      </c>
      <c r="J233" t="inlineStr">
        <is>
          <t xml:space="preserve">.22" </t>
        </is>
      </c>
      <c r="K233" t="inlineStr">
        <is>
          <t>MENDOZA</t>
        </is>
      </c>
      <c r="L233" t="inlineStr">
        <is>
          <t>PUMA</t>
        </is>
      </c>
      <c r="M233" t="inlineStr">
        <is>
          <t>RM2403464</t>
        </is>
      </c>
      <c r="N233" t="inlineStr">
        <is>
          <t>A3888060</t>
        </is>
      </c>
      <c r="P233" t="n">
        <v>1</v>
      </c>
    </row>
    <row r="234">
      <c r="A234" t="n">
        <v>738</v>
      </c>
      <c r="B234" t="inlineStr">
        <is>
          <t>CALLE 50 No. 531-E x 69 y 71, CENTRO, 97000 MÉRIDA, YUC.</t>
        </is>
      </c>
      <c r="C234" t="inlineStr">
        <is>
          <t>215. RICARDO ALBERTO DESQUENS BONILLA</t>
        </is>
      </c>
      <c r="D234" t="inlineStr">
        <is>
          <t>DEBR700911HDFSNC06</t>
        </is>
      </c>
      <c r="E234">
        <f>E291+1</f>
        <v/>
      </c>
      <c r="F234" t="inlineStr">
        <is>
          <t>Calle 51-C # 643 x 72 y 72-A, Real Montejo, MÉRIDA, YUCATÁN CP 97302</t>
        </is>
      </c>
      <c r="G234" t="n">
        <v>9993940909</v>
      </c>
      <c r="H234" t="inlineStr">
        <is>
          <t>ridesquens@yahoo.com.mx</t>
        </is>
      </c>
      <c r="I234" t="inlineStr">
        <is>
          <t>RIFLE SEMI-AUTOMÁTICO</t>
        </is>
      </c>
      <c r="J234" t="inlineStr">
        <is>
          <t xml:space="preserve">.22" </t>
        </is>
      </c>
      <c r="K234" t="inlineStr">
        <is>
          <t>RUGER</t>
        </is>
      </c>
      <c r="L234" t="inlineStr">
        <is>
          <t>10/22</t>
        </is>
      </c>
      <c r="M234" t="inlineStr">
        <is>
          <t>‭0027-45533‬</t>
        </is>
      </c>
      <c r="N234" t="inlineStr">
        <is>
          <t>A3928750</t>
        </is>
      </c>
      <c r="P234" t="n">
        <v>1</v>
      </c>
    </row>
    <row r="235">
      <c r="A235" t="n">
        <v>738</v>
      </c>
      <c r="B235" t="inlineStr">
        <is>
          <t>CALLE 50 No. 531-E x 69 y 71, CENTRO, 97000 MÉRIDA, YUC.</t>
        </is>
      </c>
      <c r="C235" t="inlineStr">
        <is>
          <t>215. RICARDO ALBERTO DESQUENS BONILLA</t>
        </is>
      </c>
      <c r="D235" t="inlineStr">
        <is>
          <t>DEBR700911HDFSNC06</t>
        </is>
      </c>
      <c r="E235">
        <f>E291+1</f>
        <v/>
      </c>
      <c r="F235" t="inlineStr">
        <is>
          <t>Calle 51-C # 643 x 72 y 72-A, Real Montejo, MÉRIDA, YUCATÁN CP 97302</t>
        </is>
      </c>
      <c r="G235" t="n">
        <v>9993940909</v>
      </c>
      <c r="H235" t="inlineStr">
        <is>
          <t>ridesquens@yahoo.com.mx</t>
        </is>
      </c>
      <c r="I235" t="inlineStr">
        <is>
          <t>ESCOPETA UN CAÑON CON SISTEMA DE BOMBA</t>
        </is>
      </c>
      <c r="J235" t="inlineStr">
        <is>
          <t>12 GA</t>
        </is>
      </c>
      <c r="K235" t="inlineStr">
        <is>
          <t>RETAY</t>
        </is>
      </c>
      <c r="L235" t="inlineStr">
        <is>
          <t>GPSX</t>
        </is>
      </c>
      <c r="M235" t="inlineStr">
        <is>
          <t>73-H24PT-000150</t>
        </is>
      </c>
      <c r="N235" t="inlineStr">
        <is>
          <t>A3888062</t>
        </is>
      </c>
      <c r="P235" t="n">
        <v>1</v>
      </c>
    </row>
    <row r="236">
      <c r="A236" t="n">
        <v>738</v>
      </c>
      <c r="B236" t="inlineStr">
        <is>
          <t>CALLE 50 No. 531-E x 69 y 71, CENTRO, 97000 MÉRIDA, YUC.</t>
        </is>
      </c>
      <c r="C236" t="inlineStr">
        <is>
          <t>216. SERGIO FERNANDO MARTINEZ AGUILAR</t>
        </is>
      </c>
      <c r="D236" t="inlineStr">
        <is>
          <t>MAAS720901HCCRGR07</t>
        </is>
      </c>
      <c r="E236">
        <f>E293+1</f>
        <v/>
      </c>
      <c r="F236" t="inlineStr">
        <is>
          <t>Calle 74 No. 629 x 37-A y 39, Fracc. Jardines de Caucel, MÉRIDA, Yuc. CP 97314</t>
        </is>
      </c>
      <c r="G236" t="n">
        <v>9831549084</v>
      </c>
      <c r="H236" t="inlineStr">
        <is>
          <t>martinezasergio@hotmail.com</t>
        </is>
      </c>
      <c r="I236" t="inlineStr">
        <is>
          <t>PISTOLA</t>
        </is>
      </c>
      <c r="J236" t="inlineStr">
        <is>
          <t>.380"</t>
        </is>
      </c>
      <c r="K236" t="inlineStr">
        <is>
          <t>CESKA ZBROJOVKA</t>
        </is>
      </c>
      <c r="L236" t="inlineStr">
        <is>
          <t>C Z P-10 C</t>
        </is>
      </c>
      <c r="M236" t="inlineStr">
        <is>
          <t>FP45008</t>
        </is>
      </c>
      <c r="N236" t="inlineStr">
        <is>
          <t>A3928754</t>
        </is>
      </c>
      <c r="O236" t="n">
        <v>1</v>
      </c>
    </row>
    <row r="237">
      <c r="A237" t="n">
        <v>738</v>
      </c>
      <c r="B237" t="inlineStr">
        <is>
          <t>CALLE 50 No. 531-E x 69 y 71, CENTRO, 97000 MÉRIDA, YUC.</t>
        </is>
      </c>
      <c r="C237" t="inlineStr">
        <is>
          <t>216. SERGIO FERNANDO MARTINEZ AGUILAR</t>
        </is>
      </c>
      <c r="D237" t="inlineStr">
        <is>
          <t>MAAS720901HCCRGR07</t>
        </is>
      </c>
      <c r="E237">
        <f>E293+1</f>
        <v/>
      </c>
      <c r="F237" t="inlineStr">
        <is>
          <t>Calle 74 No. 629 x 37-A y 39, Fracc. Jardines de Caucel, MÉRIDA, Yuc. CP 97314</t>
        </is>
      </c>
      <c r="G237" t="n">
        <v>9831549084</v>
      </c>
      <c r="H237" t="inlineStr">
        <is>
          <t>martinezasergio@hotmail.com</t>
        </is>
      </c>
      <c r="I237" t="inlineStr">
        <is>
          <t>PISTOLA</t>
        </is>
      </c>
      <c r="J237" t="inlineStr">
        <is>
          <t xml:space="preserve">.22" </t>
        </is>
      </c>
      <c r="K237" t="inlineStr">
        <is>
          <t>BROWNING</t>
        </is>
      </c>
      <c r="L237" t="inlineStr">
        <is>
          <t>BUCKMARK CONTOUR</t>
        </is>
      </c>
      <c r="M237" t="inlineStr">
        <is>
          <t>US515YV02463</t>
        </is>
      </c>
      <c r="N237" t="inlineStr">
        <is>
          <t>A3928755</t>
        </is>
      </c>
      <c r="O237" t="n">
        <v>1</v>
      </c>
    </row>
    <row r="238">
      <c r="A238" t="n">
        <v>738</v>
      </c>
      <c r="B238" t="inlineStr">
        <is>
          <t>CALLE 50 No. 531-E x 69 y 71, CENTRO, 97000 MÉRIDA, YUC.</t>
        </is>
      </c>
      <c r="C238" t="inlineStr">
        <is>
          <t>216. SERGIO FERNANDO MARTINEZ AGUILAR</t>
        </is>
      </c>
      <c r="D238" t="inlineStr">
        <is>
          <t>MAAS720901HCCRGR07</t>
        </is>
      </c>
      <c r="E238">
        <f>E293+1</f>
        <v/>
      </c>
      <c r="F238" t="inlineStr">
        <is>
          <t>Calle 74 No. 629 x 37-A y 39, Fracc. Jardines de Caucel, MÉRIDA, Yuc. CP 97314</t>
        </is>
      </c>
      <c r="G238" t="n">
        <v>9831549084</v>
      </c>
      <c r="H238" t="inlineStr">
        <is>
          <t>martinezasergio@hotmail.com</t>
        </is>
      </c>
      <c r="I238" t="inlineStr">
        <is>
          <t>ESCOPETA SEMIAUTOMATICA</t>
        </is>
      </c>
      <c r="J238" t="inlineStr">
        <is>
          <t>12 GA</t>
        </is>
      </c>
      <c r="K238" t="inlineStr">
        <is>
          <t>RETAY</t>
        </is>
      </c>
      <c r="L238" t="inlineStr">
        <is>
          <t>GORDION</t>
        </is>
      </c>
      <c r="M238" t="inlineStr">
        <is>
          <t>73-H21YT-002866</t>
        </is>
      </c>
      <c r="N238" t="inlineStr">
        <is>
          <t>A3928753</t>
        </is>
      </c>
      <c r="P238" t="n">
        <v>1</v>
      </c>
    </row>
    <row r="239">
      <c r="A239" t="n">
        <v>738</v>
      </c>
      <c r="B239" t="inlineStr">
        <is>
          <t>CALLE 50 No. 531-E x 69 y 71, CENTRO, 97000 MÉRIDA, YUC.</t>
        </is>
      </c>
      <c r="C239" t="inlineStr">
        <is>
          <t>217. ALEJANDRO OLIVER ROBERT EASTMOND</t>
        </is>
      </c>
      <c r="D239" t="inlineStr">
        <is>
          <t>ROEA841021HYNBSL09</t>
        </is>
      </c>
      <c r="E239">
        <f>E300+1</f>
        <v/>
      </c>
      <c r="F239" t="inlineStr">
        <is>
          <t>Calle 20A Núm 407 x 33 y 35.
Colonia Nueva Alemán
C.P. 97145 MÉRIDA, Yuc.</t>
        </is>
      </c>
      <c r="G239" t="n">
        <v>9999967145</v>
      </c>
      <c r="H239" t="inlineStr">
        <is>
          <t>arobert01@protonmail.com</t>
        </is>
      </c>
      <c r="I239" t="inlineStr">
        <is>
          <t>ESCOPETA</t>
        </is>
      </c>
      <c r="J239" t="inlineStr">
        <is>
          <t>12 GA</t>
        </is>
      </c>
      <c r="K239" t="inlineStr">
        <is>
          <t>FRANCHI</t>
        </is>
      </c>
      <c r="L239" t="inlineStr">
        <is>
          <t>BARRAGE SPORTING</t>
        </is>
      </c>
      <c r="M239" t="inlineStr">
        <is>
          <t>S004083S</t>
        </is>
      </c>
      <c r="N239" t="inlineStr">
        <is>
          <t>B575399</t>
        </is>
      </c>
      <c r="O239" t="n">
        <v>0</v>
      </c>
      <c r="P239" t="n">
        <v>1</v>
      </c>
    </row>
    <row r="240">
      <c r="A240" t="n">
        <v>738</v>
      </c>
      <c r="B240" t="inlineStr">
        <is>
          <t>CALLE 50 No. 531-E x 69 y 71, CENTRO, 97000 MÉRIDA, YUC.</t>
        </is>
      </c>
      <c r="C240" t="inlineStr">
        <is>
          <t>217. ALEJANDRO OLIVER ROBERT EASTMOND</t>
        </is>
      </c>
      <c r="D240" t="inlineStr">
        <is>
          <t>ROEA841021HYNBSL09</t>
        </is>
      </c>
      <c r="E240">
        <f>E300+1</f>
        <v/>
      </c>
      <c r="F240" t="inlineStr">
        <is>
          <t>Calle 20A Núm 407 x 33 y 35.
Colonia Nueva Alemán
C.P. 97145 MÉRIDA, Yuc.</t>
        </is>
      </c>
      <c r="G240" t="n">
        <v>9999967145</v>
      </c>
      <c r="H240" t="inlineStr">
        <is>
          <t>arobert01@protonmail.com</t>
        </is>
      </c>
      <c r="I240" t="inlineStr">
        <is>
          <t>ESCOPETA</t>
        </is>
      </c>
      <c r="J240" t="inlineStr">
        <is>
          <t>20 GA</t>
        </is>
      </c>
      <c r="K240" t="inlineStr">
        <is>
          <t>WINCHESTER</t>
        </is>
      </c>
      <c r="L240" t="inlineStr">
        <is>
          <t>NATERAS</t>
        </is>
      </c>
      <c r="M240" t="inlineStr">
        <is>
          <t>L 3026227</t>
        </is>
      </c>
      <c r="N240" t="inlineStr">
        <is>
          <t>B575731</t>
        </is>
      </c>
      <c r="O240" t="n">
        <v>0</v>
      </c>
      <c r="P240" t="n">
        <v>1</v>
      </c>
    </row>
    <row r="241">
      <c r="A241" t="n">
        <v>738</v>
      </c>
      <c r="B241" t="inlineStr">
        <is>
          <t>CALLE 50 No. 531-E x 69 y 71, CENTRO, 97000 MÉRIDA, YUC.</t>
        </is>
      </c>
      <c r="C241" t="inlineStr">
        <is>
          <t>217. ALEJANDRO OLIVER ROBERT EASTMOND</t>
        </is>
      </c>
      <c r="D241" t="inlineStr">
        <is>
          <t>ROEA841021HYNBSL09</t>
        </is>
      </c>
      <c r="E241">
        <f>E300+1</f>
        <v/>
      </c>
      <c r="F241" t="inlineStr">
        <is>
          <t>Calle 20A Núm 407 x 33 y 35.
Colonia Nueva Alemán
C.P. 97145 MÉRIDA, Yuc.</t>
        </is>
      </c>
      <c r="G241" t="n">
        <v>9999967145</v>
      </c>
      <c r="H241" t="inlineStr">
        <is>
          <t>arobert01@protonmail.com</t>
        </is>
      </c>
      <c r="I241" t="inlineStr">
        <is>
          <t>PISTOLA</t>
        </is>
      </c>
      <c r="J241" t="inlineStr">
        <is>
          <t>0.380" ACP</t>
        </is>
      </c>
      <c r="K241" t="inlineStr">
        <is>
          <t>GLOCK</t>
        </is>
      </c>
      <c r="L241" t="n">
        <v>25</v>
      </c>
      <c r="M241" t="inlineStr">
        <is>
          <t>BAYK183</t>
        </is>
      </c>
      <c r="N241" t="inlineStr">
        <is>
          <t xml:space="preserve">B631118                            </t>
        </is>
      </c>
      <c r="O241" t="n">
        <v>1</v>
      </c>
      <c r="P241" t="n">
        <v>0</v>
      </c>
    </row>
    <row r="242">
      <c r="A242" t="n">
        <v>738</v>
      </c>
      <c r="B242" t="inlineStr">
        <is>
          <t>CALLE 50 No. 531-E x 69 y 71, CENTRO, 97000 MÉRIDA, YUC.</t>
        </is>
      </c>
      <c r="C242" t="inlineStr">
        <is>
          <t>218. JUAN CARLOS RAMIREZ GOMEZ</t>
        </is>
      </c>
      <c r="D242" t="inlineStr">
        <is>
          <t>RAGJ831020HDFMMN08</t>
        </is>
      </c>
      <c r="E242">
        <f>E304+1</f>
        <v/>
      </c>
      <c r="F242" t="inlineStr">
        <is>
          <t>C. 81 112-2, Temozon Norte, 97302 MÉRIDA, Yuc.</t>
        </is>
      </c>
      <c r="G242" t="n">
        <v>5543426160</v>
      </c>
      <c r="H242" t="inlineStr">
        <is>
          <t>olga.garcia@mayaseguridad.mx</t>
        </is>
      </c>
      <c r="I242" t="inlineStr">
        <is>
          <t>PISTOLA</t>
        </is>
      </c>
      <c r="J242" t="inlineStr">
        <is>
          <t>.380"</t>
        </is>
      </c>
      <c r="K242" t="inlineStr">
        <is>
          <t>GLOCK</t>
        </is>
      </c>
      <c r="L242" t="inlineStr">
        <is>
          <t>25</t>
        </is>
      </c>
      <c r="M242" t="inlineStr">
        <is>
          <t>BAMD268</t>
        </is>
      </c>
      <c r="N242" t="inlineStr">
        <is>
          <t>F 243199</t>
        </is>
      </c>
      <c r="O242" t="n">
        <v>1</v>
      </c>
      <c r="P242" t="n">
        <v>0</v>
      </c>
    </row>
    <row r="243">
      <c r="A243" t="n">
        <v>738</v>
      </c>
      <c r="B243" t="inlineStr">
        <is>
          <t>CALLE 50 No. 531-E x 69 y 71, CENTRO, 97000 MÉRIDA, YUC.</t>
        </is>
      </c>
      <c r="C243" t="inlineStr">
        <is>
          <t>220. GUIDO RENY CUEVAS ABRAHAM</t>
        </is>
      </c>
      <c r="D243" t="inlineStr">
        <is>
          <t>CUAG750301HYNVBD00</t>
        </is>
      </c>
      <c r="E243">
        <f>E310+1</f>
        <v/>
      </c>
      <c r="F243" t="inlineStr">
        <is>
          <t>Calle 15 NÚM 314 x 32 y 34 Montecarlo, MÉRIDA, Yucatán, CP 97130</t>
        </is>
      </c>
      <c r="G243" t="n">
        <v>9993354270</v>
      </c>
      <c r="H243" t="inlineStr">
        <is>
          <t>guidorcuevasabraham@gmail.com</t>
        </is>
      </c>
      <c r="I243" t="inlineStr">
        <is>
          <t>PISTOLA</t>
        </is>
      </c>
      <c r="J243" t="inlineStr">
        <is>
          <t>.380"</t>
        </is>
      </c>
      <c r="K243" t="inlineStr">
        <is>
          <t>GLOCK</t>
        </is>
      </c>
      <c r="L243" t="inlineStr">
        <is>
          <t>25</t>
        </is>
      </c>
      <c r="M243" t="inlineStr">
        <is>
          <t>CENT504</t>
        </is>
      </c>
      <c r="N243" t="inlineStr">
        <is>
          <t>A3897403</t>
        </is>
      </c>
      <c r="O243" t="n">
        <v>1</v>
      </c>
      <c r="P243" t="n">
        <v>0</v>
      </c>
    </row>
    <row r="244">
      <c r="A244" t="n">
        <v>738</v>
      </c>
      <c r="B244" t="inlineStr">
        <is>
          <t>CALLE 50 No. 531-E x 69 y 71, CENTRO, 97000 MÉRIDA, YUC.</t>
        </is>
      </c>
      <c r="C244" t="inlineStr">
        <is>
          <t>220. GUIDO RENY CUEVAS ABRAHAM</t>
        </is>
      </c>
      <c r="D244" t="inlineStr">
        <is>
          <t>CUAG750301HYNVBD00</t>
        </is>
      </c>
      <c r="E244">
        <f>E310+1</f>
        <v/>
      </c>
      <c r="F244" t="inlineStr">
        <is>
          <t>Calle 15 NÚM 314 x 32 y 34 Montecarlo, MÉRIDA, Yucatán, CP 97130</t>
        </is>
      </c>
      <c r="G244" t="n">
        <v>9993354270</v>
      </c>
      <c r="H244" t="inlineStr">
        <is>
          <t>guidorcuevasabraham@gmail.com</t>
        </is>
      </c>
      <c r="I244" t="inlineStr">
        <is>
          <t>PISTOLA</t>
        </is>
      </c>
      <c r="J244" t="inlineStr">
        <is>
          <t>.380"</t>
        </is>
      </c>
      <c r="K244" t="inlineStr">
        <is>
          <t>GLOCK</t>
        </is>
      </c>
      <c r="L244" t="inlineStr">
        <is>
          <t>25</t>
        </is>
      </c>
      <c r="M244" t="inlineStr">
        <is>
          <t>CCXC253</t>
        </is>
      </c>
      <c r="N244" t="inlineStr">
        <is>
          <t>A3897404</t>
        </is>
      </c>
      <c r="O244" t="n">
        <v>1</v>
      </c>
      <c r="P244" t="n">
        <v>0</v>
      </c>
    </row>
    <row r="245">
      <c r="A245" t="n">
        <v>738</v>
      </c>
      <c r="B245" t="inlineStr">
        <is>
          <t>CALLE 50 No. 531-E x 69 y 71, CENTRO, 97000 MÉRIDA, YUC.</t>
        </is>
      </c>
      <c r="C245" t="inlineStr">
        <is>
          <t>222. IVAN TSUIS CABO TORRES</t>
        </is>
      </c>
      <c r="D245" t="inlineStr">
        <is>
          <t>CATI771216HNEBRV03</t>
        </is>
      </c>
      <c r="E245">
        <f>E316+1</f>
        <v/>
      </c>
      <c r="F245" t="inlineStr">
        <is>
          <t>C. 43 322 X 36 Y 36A, San Ramón Norte, 97117 MÉRIDA, Yucatán</t>
        </is>
      </c>
      <c r="G245" t="n">
        <v>9992315040</v>
      </c>
      <c r="H245" t="inlineStr">
        <is>
          <t>ivancabo@gmail.com</t>
        </is>
      </c>
      <c r="I245" t="inlineStr">
        <is>
          <t>PISTOLA</t>
        </is>
      </c>
      <c r="J245" t="inlineStr">
        <is>
          <t>.380"</t>
        </is>
      </c>
      <c r="K245" t="inlineStr">
        <is>
          <t>CESKA ZBROJOVKA</t>
        </is>
      </c>
      <c r="L245" t="inlineStr">
        <is>
          <t>CZ P-10 C</t>
        </is>
      </c>
      <c r="M245" t="inlineStr">
        <is>
          <t>DP23540</t>
        </is>
      </c>
      <c r="N245" t="inlineStr">
        <is>
          <t>A3779516</t>
        </is>
      </c>
      <c r="O245" t="n">
        <v>1</v>
      </c>
    </row>
    <row r="246">
      <c r="A246" t="n">
        <v>738</v>
      </c>
      <c r="B246" t="inlineStr">
        <is>
          <t>CALLE 50 No. 531-E x 69 y 71, CENTRO, 97000 MÉRIDA, YUC.</t>
        </is>
      </c>
      <c r="C246" t="inlineStr">
        <is>
          <t>222. IVAN TSUIS CABO TORRES</t>
        </is>
      </c>
      <c r="D246" t="inlineStr">
        <is>
          <t>CATI771216HNEBRV03</t>
        </is>
      </c>
      <c r="E246">
        <f>E316+1</f>
        <v/>
      </c>
      <c r="F246" t="inlineStr">
        <is>
          <t>C. 43 322 X 36 Y 36A, San Ramón Norte, 97117 MÉRIDA, Yucatán</t>
        </is>
      </c>
      <c r="G246" t="n">
        <v>9992315040</v>
      </c>
      <c r="H246" t="inlineStr">
        <is>
          <t>ivancabo@gmail.com</t>
        </is>
      </c>
      <c r="I246" t="inlineStr">
        <is>
          <t>PISTOLA</t>
        </is>
      </c>
      <c r="J246" t="inlineStr">
        <is>
          <t>.22"</t>
        </is>
      </c>
      <c r="K246" t="inlineStr">
        <is>
          <t>BROWNING</t>
        </is>
      </c>
      <c r="L246" t="inlineStr">
        <is>
          <t>BUCK</t>
        </is>
      </c>
      <c r="M246" t="inlineStr">
        <is>
          <t>US515YY19935</t>
        </is>
      </c>
      <c r="N246" t="inlineStr">
        <is>
          <t>A3779515</t>
        </is>
      </c>
      <c r="O246" t="n">
        <v>1</v>
      </c>
    </row>
    <row r="247">
      <c r="A247" t="n">
        <v>738</v>
      </c>
      <c r="B247" t="inlineStr">
        <is>
          <t>CALLE 50 No. 531-E x 69 y 71, CENTRO, 97000 MÉRIDA, YUC.</t>
        </is>
      </c>
      <c r="C247" t="inlineStr">
        <is>
          <t>222. IVAN TSUIS CABO TORRES</t>
        </is>
      </c>
      <c r="D247" t="inlineStr">
        <is>
          <t>CATI771216HNEBRV03</t>
        </is>
      </c>
      <c r="E247">
        <f>E316+1</f>
        <v/>
      </c>
      <c r="F247" t="inlineStr">
        <is>
          <t>C. 43 322 X 36 Y 36A, San Ramón Norte, 97117 MÉRIDA, Yucatán</t>
        </is>
      </c>
      <c r="G247" t="n">
        <v>9992315040</v>
      </c>
      <c r="H247" t="inlineStr">
        <is>
          <t>ivancabo@gmail.com</t>
        </is>
      </c>
      <c r="I247" t="inlineStr">
        <is>
          <t>RIFLE SEMI-AUTOMÁTICO</t>
        </is>
      </c>
      <c r="J247" t="inlineStr">
        <is>
          <t>.22" L.R.</t>
        </is>
      </c>
      <c r="K247" t="inlineStr">
        <is>
          <t>MENDOZA</t>
        </is>
      </c>
      <c r="L247" t="inlineStr">
        <is>
          <t>PUMA</t>
        </is>
      </c>
      <c r="M247" t="n">
        <v>27280</v>
      </c>
      <c r="N247" t="inlineStr">
        <is>
          <t>A3779518</t>
        </is>
      </c>
      <c r="P247" t="n">
        <v>1</v>
      </c>
    </row>
    <row r="248">
      <c r="A248" t="n">
        <v>738</v>
      </c>
      <c r="B248" t="inlineStr">
        <is>
          <t>CALLE 50 No. 531-E x 69 y 71, CENTRO, 97000 MÉRIDA, YUC.</t>
        </is>
      </c>
      <c r="C248" t="inlineStr">
        <is>
          <t>224. JOSE GIL HEREDIA HAGAR</t>
        </is>
      </c>
      <c r="D248" t="inlineStr">
        <is>
          <t>HEHG860310HYNRGL05</t>
        </is>
      </c>
      <c r="E248">
        <f>E322+1</f>
        <v/>
      </c>
      <c r="F248" t="inlineStr">
        <is>
          <t>C. 46 480 X 33 Y 31 A, COL. NUEVA YUCATAN, CP 97147, MERIDA, YUCATAN</t>
        </is>
      </c>
      <c r="G248" t="inlineStr">
        <is>
          <t>999 900 1366</t>
        </is>
      </c>
      <c r="H248" t="inlineStr">
        <is>
          <t>jgheredia@hotmail.com</t>
        </is>
      </c>
      <c r="I248" t="inlineStr">
        <is>
          <t>PISTOLA</t>
        </is>
      </c>
      <c r="J248" t="inlineStr">
        <is>
          <t>.22"</t>
        </is>
      </c>
      <c r="K248" t="inlineStr">
        <is>
          <t>GRAND POWER</t>
        </is>
      </c>
      <c r="L248" t="inlineStr">
        <is>
          <t>K22</t>
        </is>
      </c>
      <c r="M248" t="inlineStr">
        <is>
          <t>K084513</t>
        </is>
      </c>
      <c r="N248" t="inlineStr">
        <is>
          <t>A3725153</t>
        </is>
      </c>
      <c r="O248" t="n">
        <v>1</v>
      </c>
      <c r="P248" t="n">
        <v>0</v>
      </c>
    </row>
    <row r="249">
      <c r="A249" t="n">
        <v>738</v>
      </c>
      <c r="B249" t="inlineStr">
        <is>
          <t>CALLE 50 No. 531-E x 69 y 71, CENTRO, 97000 MÉRIDA, YUC.</t>
        </is>
      </c>
      <c r="C249" t="inlineStr">
        <is>
          <t>224. JOSE GIL HEREDIA HAGAR</t>
        </is>
      </c>
      <c r="D249" t="inlineStr">
        <is>
          <t>HEHG860310HYNRGL05</t>
        </is>
      </c>
      <c r="E249">
        <f>E322+1</f>
        <v/>
      </c>
      <c r="F249" t="inlineStr">
        <is>
          <t>C. 46 480 X 33 Y 31 A, COL. NUEVA YUCATAN, CP 97147, MERIDA, YUCATAN</t>
        </is>
      </c>
      <c r="G249" t="inlineStr">
        <is>
          <t>999 900 1366</t>
        </is>
      </c>
      <c r="H249" t="inlineStr">
        <is>
          <t>jgheredia@hotmail.com</t>
        </is>
      </c>
      <c r="I249" t="inlineStr">
        <is>
          <t>PISTOLA</t>
        </is>
      </c>
      <c r="J249" t="inlineStr">
        <is>
          <t>.380"</t>
        </is>
      </c>
      <c r="K249" t="inlineStr">
        <is>
          <t>CESKA ZBROJOVKA</t>
        </is>
      </c>
      <c r="L249" t="inlineStr">
        <is>
          <t>CZ SHADOW 2</t>
        </is>
      </c>
      <c r="M249" t="inlineStr">
        <is>
          <t>DP25316</t>
        </is>
      </c>
      <c r="N249" t="inlineStr">
        <is>
          <t>A3793354</t>
        </is>
      </c>
      <c r="O249" t="n">
        <v>1</v>
      </c>
      <c r="P249" t="n">
        <v>0</v>
      </c>
    </row>
    <row r="250">
      <c r="A250" t="n">
        <v>738</v>
      </c>
      <c r="B250" t="inlineStr">
        <is>
          <t>CALLE 50 No. 531-E x 69 y 71, CENTRO, 97000 MÉRIDA, YUC.</t>
        </is>
      </c>
      <c r="C250" t="inlineStr">
        <is>
          <t>224. JOSE GIL HEREDIA HAGAR</t>
        </is>
      </c>
      <c r="D250" t="inlineStr">
        <is>
          <t>HEHG860310HYNRGL05</t>
        </is>
      </c>
      <c r="E250">
        <f>E322+1</f>
        <v/>
      </c>
      <c r="F250" t="inlineStr">
        <is>
          <t>C. 46 480 X 33 Y 31 A, COL. NUEVA YUCATAN, CP 97147, MERIDA, YUCATAN</t>
        </is>
      </c>
      <c r="G250" t="inlineStr">
        <is>
          <t>999 900 1366</t>
        </is>
      </c>
      <c r="H250" t="inlineStr">
        <is>
          <t>jgheredia@hotmail.com</t>
        </is>
      </c>
      <c r="I250" t="inlineStr">
        <is>
          <t>PISTOLA</t>
        </is>
      </c>
      <c r="J250" t="inlineStr">
        <is>
          <t>.380"</t>
        </is>
      </c>
      <c r="K250" t="inlineStr">
        <is>
          <t>CESKA ZBROJOVKA</t>
        </is>
      </c>
      <c r="L250" t="inlineStr">
        <is>
          <t>CZ SHADOW 2</t>
        </is>
      </c>
      <c r="M250" t="inlineStr">
        <is>
          <t>DP25317</t>
        </is>
      </c>
      <c r="N250" t="inlineStr">
        <is>
          <t>A3793355</t>
        </is>
      </c>
      <c r="O250" t="n">
        <v>1</v>
      </c>
      <c r="P250" t="n">
        <v>0</v>
      </c>
    </row>
    <row r="251">
      <c r="A251" t="n">
        <v>738</v>
      </c>
      <c r="B251" t="inlineStr">
        <is>
          <t>CALLE 50 No. 531-E x 69 y 71, CENTRO, 97000 MÉRIDA, YUC.</t>
        </is>
      </c>
      <c r="C251" t="inlineStr">
        <is>
          <t>224. JOSE GIL HEREDIA HAGAR</t>
        </is>
      </c>
      <c r="D251" t="inlineStr">
        <is>
          <t>HEHG860310HYNRGL05</t>
        </is>
      </c>
      <c r="E251">
        <f>E322+1</f>
        <v/>
      </c>
      <c r="F251" t="inlineStr">
        <is>
          <t>C. 46 480 X 33 Y 31 A, COL. NUEVA YUCATAN, CP 97147, MERIDA, YUCATAN</t>
        </is>
      </c>
      <c r="G251" t="inlineStr">
        <is>
          <t>999 900 1366</t>
        </is>
      </c>
      <c r="H251" t="inlineStr">
        <is>
          <t>jgheredia@hotmail.com</t>
        </is>
      </c>
      <c r="I251" t="inlineStr">
        <is>
          <t>PISTOLA</t>
        </is>
      </c>
      <c r="J251" t="inlineStr">
        <is>
          <t>.380"</t>
        </is>
      </c>
      <c r="K251" t="inlineStr">
        <is>
          <t>SIG SAUER</t>
        </is>
      </c>
      <c r="L251" t="inlineStr">
        <is>
          <t>P365</t>
        </is>
      </c>
      <c r="M251" t="inlineStr">
        <is>
          <t>66F398918</t>
        </is>
      </c>
      <c r="N251" t="inlineStr">
        <is>
          <t>A3793356</t>
        </is>
      </c>
      <c r="O251" t="n">
        <v>1</v>
      </c>
      <c r="P251" t="n">
        <v>0</v>
      </c>
    </row>
    <row r="252">
      <c r="A252" t="n">
        <v>738</v>
      </c>
      <c r="B252" t="inlineStr">
        <is>
          <t>CALLE 50 No. 531-E x 69 y 71, CENTRO, 97000 MÉRIDA, YUC.</t>
        </is>
      </c>
      <c r="C252" t="inlineStr">
        <is>
          <t>224. JOSE GIL HEREDIA HAGAR</t>
        </is>
      </c>
      <c r="D252" t="inlineStr">
        <is>
          <t>HEHG860310HYNRGL05</t>
        </is>
      </c>
      <c r="E252">
        <f>E322+1</f>
        <v/>
      </c>
      <c r="F252" t="inlineStr">
        <is>
          <t>C. 46 480 X 33 Y 31 A, COL. NUEVA YUCATAN, CP 97147, MERIDA, YUCATAN</t>
        </is>
      </c>
      <c r="G252" t="inlineStr">
        <is>
          <t>999 900 1366</t>
        </is>
      </c>
      <c r="H252" t="inlineStr">
        <is>
          <t>jgheredia@hotmail.com</t>
        </is>
      </c>
      <c r="I252" t="inlineStr">
        <is>
          <t>PISTOLA</t>
        </is>
      </c>
      <c r="J252" t="inlineStr">
        <is>
          <t>.380"</t>
        </is>
      </c>
      <c r="K252" t="inlineStr">
        <is>
          <t>GLOCK</t>
        </is>
      </c>
      <c r="L252" t="inlineStr">
        <is>
          <t>25</t>
        </is>
      </c>
      <c r="M252" t="inlineStr">
        <is>
          <t>BLCC322</t>
        </is>
      </c>
      <c r="N252" t="inlineStr">
        <is>
          <t>A3586249</t>
        </is>
      </c>
      <c r="O252" t="n">
        <v>1</v>
      </c>
      <c r="P252" t="n">
        <v>0</v>
      </c>
    </row>
    <row r="253">
      <c r="A253" t="n">
        <v>738</v>
      </c>
      <c r="B253" t="inlineStr">
        <is>
          <t>CALLE 50 No. 531-E x 69 y 71, CENTRO, 97000 MÉRIDA, YUC.</t>
        </is>
      </c>
      <c r="C253" t="inlineStr">
        <is>
          <t>224. JOSE GIL HEREDIA HAGAR</t>
        </is>
      </c>
      <c r="D253" t="inlineStr">
        <is>
          <t>HEHG860310HYNRGL05</t>
        </is>
      </c>
      <c r="E253">
        <f>E322+1</f>
        <v/>
      </c>
      <c r="F253" t="inlineStr">
        <is>
          <t>C. 46 480 X 33 Y 31 A, COL. NUEVA YUCATAN, CP 97147, MERIDA, YUCATAN</t>
        </is>
      </c>
      <c r="G253" t="inlineStr">
        <is>
          <t>999 900 1366</t>
        </is>
      </c>
      <c r="H253" t="inlineStr">
        <is>
          <t>jgheredia@hotmail.com</t>
        </is>
      </c>
      <c r="I253" t="inlineStr">
        <is>
          <t>REVOLVER</t>
        </is>
      </c>
      <c r="J253" t="inlineStr">
        <is>
          <t>0.22" L.R.</t>
        </is>
      </c>
      <c r="K253" t="inlineStr">
        <is>
          <t>H&amp;R</t>
        </is>
      </c>
      <c r="L253" t="inlineStr">
        <is>
          <t>929</t>
        </is>
      </c>
      <c r="M253" t="inlineStr">
        <is>
          <t>AG11090</t>
        </is>
      </c>
      <c r="N253" t="inlineStr">
        <is>
          <t>A3422000</t>
        </is>
      </c>
      <c r="O253" t="n">
        <v>1</v>
      </c>
      <c r="P253" t="n">
        <v>0</v>
      </c>
    </row>
    <row r="254">
      <c r="A254" t="n">
        <v>738</v>
      </c>
      <c r="B254" t="inlineStr">
        <is>
          <t>CALLE 50 No. 531-E x 69 y 71, CENTRO, 97000 MÉRIDA, YUC.</t>
        </is>
      </c>
      <c r="C254" t="inlineStr">
        <is>
          <t>224. JOSE GIL HEREDIA HAGAR</t>
        </is>
      </c>
      <c r="D254" t="inlineStr">
        <is>
          <t>HEHG860310HYNRGL05</t>
        </is>
      </c>
      <c r="E254">
        <f>E322+1</f>
        <v/>
      </c>
      <c r="F254" t="inlineStr">
        <is>
          <t>C. 46 480 X 33 Y 31 A, COL. NUEVA YUCATAN, CP 97147, MERIDA, YUCATAN</t>
        </is>
      </c>
      <c r="G254" t="inlineStr">
        <is>
          <t>999 900 1366</t>
        </is>
      </c>
      <c r="H254" t="inlineStr">
        <is>
          <t>jgheredia@hotmail.com</t>
        </is>
      </c>
      <c r="I254" t="inlineStr">
        <is>
          <t>RIFLE SEMI-AUTOMATICO</t>
        </is>
      </c>
      <c r="J254" t="inlineStr">
        <is>
          <t>.22" L.R.</t>
        </is>
      </c>
      <c r="K254" t="inlineStr">
        <is>
          <t>CHIAPPA FIREARMS</t>
        </is>
      </c>
      <c r="L254" t="inlineStr">
        <is>
          <t>MFOUR-22</t>
        </is>
      </c>
      <c r="M254" t="inlineStr">
        <is>
          <t>19A00758</t>
        </is>
      </c>
      <c r="N254" t="inlineStr">
        <is>
          <t>A3586246</t>
        </is>
      </c>
      <c r="O254" t="n">
        <v>0</v>
      </c>
      <c r="P254" t="n">
        <v>1</v>
      </c>
    </row>
    <row r="255">
      <c r="A255" t="n">
        <v>738</v>
      </c>
      <c r="B255" t="inlineStr">
        <is>
          <t>CALLE 50 No. 531-E x 69 y 71, CENTRO, 97000 MÉRIDA, YUC.</t>
        </is>
      </c>
      <c r="C255" t="inlineStr">
        <is>
          <t>225. SANTIAGO ALEJANDRO QUINTAL PAREDES</t>
        </is>
      </c>
      <c r="D255" t="inlineStr">
        <is>
          <t>QUPS901102HYNNRN04</t>
        </is>
      </c>
      <c r="E255">
        <f>E325+1</f>
        <v/>
      </c>
      <c r="F255" t="inlineStr">
        <is>
          <t>CALLE 14 SIN NUMERO
CHOCHOLA, YUCATAN
CP 97816, YUCATAN</t>
        </is>
      </c>
      <c r="G255" t="n">
        <v>9995759542</v>
      </c>
      <c r="H255" t="inlineStr">
        <is>
          <t>squintal158@gmail.com</t>
        </is>
      </c>
      <c r="I255" t="inlineStr">
        <is>
          <t>PISTOLA</t>
        </is>
      </c>
      <c r="J255" t="inlineStr">
        <is>
          <t>.380"</t>
        </is>
      </c>
      <c r="K255" t="inlineStr">
        <is>
          <t>CESKA ZBROJOVKA</t>
        </is>
      </c>
      <c r="L255" t="inlineStr">
        <is>
          <t>CZ SHADOW 2</t>
        </is>
      </c>
      <c r="M255" t="inlineStr">
        <is>
          <t>FP41102</t>
        </is>
      </c>
      <c r="N255" t="inlineStr">
        <is>
          <t>A3916933</t>
        </is>
      </c>
      <c r="O255" t="n">
        <v>1</v>
      </c>
    </row>
    <row r="256">
      <c r="A256" t="n">
        <v>738</v>
      </c>
      <c r="B256" t="inlineStr">
        <is>
          <t>CALLE 50 No. 531-E x 69 y 71, CENTRO, 97000 MÉRIDA, YUC.</t>
        </is>
      </c>
      <c r="C256" t="inlineStr">
        <is>
          <t>225. SANTIAGO ALEJANDRO QUINTAL PAREDES</t>
        </is>
      </c>
      <c r="D256" t="inlineStr">
        <is>
          <t>QUPS901102HYNNRN04</t>
        </is>
      </c>
      <c r="E256">
        <f>E325+1</f>
        <v/>
      </c>
      <c r="F256" t="inlineStr">
        <is>
          <t>CALLE 14 SIN NUMERO
CHOCHOLA, YUCATAN
CP 97816, YUCATAN</t>
        </is>
      </c>
      <c r="G256" t="n">
        <v>9995759542</v>
      </c>
      <c r="H256" t="inlineStr">
        <is>
          <t>squintal158@gmail.com</t>
        </is>
      </c>
      <c r="I256" t="inlineStr">
        <is>
          <t>RIFLE</t>
        </is>
      </c>
      <c r="J256" t="inlineStr">
        <is>
          <t>.22" L.R.</t>
        </is>
      </c>
      <c r="K256" t="inlineStr">
        <is>
          <t>CESKA ZBROJOVKA</t>
        </is>
      </c>
      <c r="L256" t="inlineStr">
        <is>
          <t>CZ 457 MTR</t>
        </is>
      </c>
      <c r="M256" t="inlineStr">
        <is>
          <t>J002602</t>
        </is>
      </c>
      <c r="N256" t="inlineStr">
        <is>
          <t>A3916936</t>
        </is>
      </c>
      <c r="P256" t="n">
        <v>1</v>
      </c>
    </row>
    <row r="257">
      <c r="A257" t="n">
        <v>738</v>
      </c>
      <c r="B257" t="inlineStr">
        <is>
          <t>CALLE 50 No. 531-E x 69 y 71, CENTRO, 97000 MÉRIDA, YUC.</t>
        </is>
      </c>
      <c r="C257" t="inlineStr">
        <is>
          <t>225. SANTIAGO ALEJANDRO QUINTAL PAREDES</t>
        </is>
      </c>
      <c r="D257" t="inlineStr">
        <is>
          <t>QUPS901102HYNNRN04</t>
        </is>
      </c>
      <c r="E257">
        <f>E325+1</f>
        <v/>
      </c>
      <c r="F257" t="inlineStr">
        <is>
          <t>CALLE 14 SIN NUMERO
CHOCHOLA, YUCATAN
CP 97816, YUCATAN</t>
        </is>
      </c>
      <c r="G257" t="n">
        <v>9995759542</v>
      </c>
      <c r="H257" t="inlineStr">
        <is>
          <t>squintal158@gmail.com</t>
        </is>
      </c>
      <c r="I257" t="inlineStr">
        <is>
          <t>ESCOPETA SEMIAUTOMATICA</t>
        </is>
      </c>
      <c r="J257" t="inlineStr">
        <is>
          <t>12 GA</t>
        </is>
      </c>
      <c r="K257" t="inlineStr">
        <is>
          <t>BREDA</t>
        </is>
      </c>
      <c r="L257" t="inlineStr">
        <is>
          <t>TITANIO</t>
        </is>
      </c>
      <c r="M257" t="inlineStr">
        <is>
          <t>BA 12657</t>
        </is>
      </c>
      <c r="N257" t="inlineStr">
        <is>
          <t>A3916935</t>
        </is>
      </c>
      <c r="P257" t="n">
        <v>1</v>
      </c>
    </row>
    <row r="258">
      <c r="A258" t="n">
        <v>738</v>
      </c>
      <c r="B258" t="inlineStr">
        <is>
          <t>CALLE 50 No. 531-E x 69 y 71, CENTRO, 97000 MÉRIDA, YUC.</t>
        </is>
      </c>
      <c r="C258" t="inlineStr">
        <is>
          <t>226. ARIEL BALTAZAR CÓRDOBA WILSON</t>
        </is>
      </c>
      <c r="D258" t="inlineStr">
        <is>
          <t>COWA700106TSRLR00</t>
        </is>
      </c>
      <c r="E258">
        <f>E333+1</f>
        <v/>
      </c>
      <c r="F258" t="inlineStr">
        <is>
          <t>C. 5-A DIAGONAL 239 X 18 Y 20, COL. JUAN B. SOSA, MERIDA, YUCATÁN, 97205</t>
        </is>
      </c>
      <c r="G258" t="n">
        <v>9994912883</v>
      </c>
      <c r="H258" t="inlineStr">
        <is>
          <t>atietzbabam@gmail.com</t>
        </is>
      </c>
      <c r="I258" t="inlineStr">
        <is>
          <t>RIFLE SEMI AUTOMATICO</t>
        </is>
      </c>
      <c r="J258" t="inlineStr">
        <is>
          <t>.22" L.R.</t>
        </is>
      </c>
      <c r="K258" t="inlineStr">
        <is>
          <t>MENDOZA</t>
        </is>
      </c>
      <c r="L258" t="inlineStr">
        <is>
          <t>PUMA</t>
        </is>
      </c>
      <c r="M258" t="n">
        <v>42722</v>
      </c>
      <c r="N258" t="inlineStr">
        <is>
          <t>A3848750</t>
        </is>
      </c>
      <c r="O258" t="n">
        <v>0</v>
      </c>
      <c r="P258" t="n">
        <v>1</v>
      </c>
    </row>
    <row r="259">
      <c r="A259" t="n">
        <v>738</v>
      </c>
      <c r="B259" t="inlineStr">
        <is>
          <t>CALLE 50 No. 531-E x 69 y 71, CENTRO, 97000 MÉRIDA, YUC.</t>
        </is>
      </c>
      <c r="C259" t="inlineStr">
        <is>
          <t>226. ARIEL BALTAZAR CÓRDOBA WILSON</t>
        </is>
      </c>
      <c r="D259" t="inlineStr">
        <is>
          <t>COWA700106TSRLR00</t>
        </is>
      </c>
      <c r="E259">
        <f>E333+1</f>
        <v/>
      </c>
      <c r="F259" t="inlineStr">
        <is>
          <t>C. 5-A DIAGONAL 239 X 18 Y 20, COL. JUAN B. SOSA, MERIDA, YUCATÁN, 97205</t>
        </is>
      </c>
      <c r="G259" t="n">
        <v>9994912883</v>
      </c>
      <c r="H259" t="inlineStr">
        <is>
          <t>atietzbabam@gmail.com</t>
        </is>
      </c>
      <c r="I259" t="inlineStr">
        <is>
          <t>RIFLE</t>
        </is>
      </c>
      <c r="J259" t="inlineStr">
        <is>
          <t>0.223" REM.</t>
        </is>
      </c>
      <c r="K259" t="inlineStr">
        <is>
          <t>BENELLI</t>
        </is>
      </c>
      <c r="L259" t="inlineStr">
        <is>
          <t>MR1</t>
        </is>
      </c>
      <c r="M259" t="inlineStr">
        <is>
          <t>BC013587R</t>
        </is>
      </c>
      <c r="N259" t="inlineStr">
        <is>
          <t>A3853877</t>
        </is>
      </c>
      <c r="O259" t="n">
        <v>0</v>
      </c>
      <c r="P259" t="n">
        <v>1</v>
      </c>
    </row>
    <row r="260">
      <c r="A260" t="n">
        <v>738</v>
      </c>
      <c r="B260" t="inlineStr">
        <is>
          <t>CALLE 50 No. 531-E x 69 y 71, CENTRO, 97000 MÉRIDA, YUC.</t>
        </is>
      </c>
      <c r="C260" t="inlineStr">
        <is>
          <t>226. ARIEL BALTAZAR CÓRDOBA WILSON</t>
        </is>
      </c>
      <c r="D260" t="inlineStr">
        <is>
          <t>COWA700106TSRLR00</t>
        </is>
      </c>
      <c r="E260">
        <f>E333+1</f>
        <v/>
      </c>
      <c r="F260" t="inlineStr">
        <is>
          <t>C. 5-A DIAGONAL 239 X 18 Y 20, COL. JUAN B. SOSA, MERIDA, YUCATÁN, 97205</t>
        </is>
      </c>
      <c r="G260" t="n">
        <v>9994912883</v>
      </c>
      <c r="H260" t="inlineStr">
        <is>
          <t>atietzbabam@gmail.com</t>
        </is>
      </c>
      <c r="I260" t="inlineStr">
        <is>
          <t>RIFLE</t>
        </is>
      </c>
      <c r="J260" t="inlineStr">
        <is>
          <t>0.223" REM.</t>
        </is>
      </c>
      <c r="K260" t="inlineStr">
        <is>
          <t>BENELLI</t>
        </is>
      </c>
      <c r="L260" t="inlineStr">
        <is>
          <t>MR1</t>
        </is>
      </c>
      <c r="M260" t="inlineStr">
        <is>
          <t>BC013586P</t>
        </is>
      </c>
      <c r="N260" t="inlineStr">
        <is>
          <t>A3853878</t>
        </is>
      </c>
      <c r="O260" t="n">
        <v>0</v>
      </c>
      <c r="P260" t="n">
        <v>1</v>
      </c>
    </row>
    <row r="261">
      <c r="A261" t="n">
        <v>738</v>
      </c>
      <c r="B261" t="inlineStr">
        <is>
          <t>CALLE 50 No. 531-E x 69 y 71, CENTRO, 97000 MÉRIDA, YUC.</t>
        </is>
      </c>
      <c r="C261" t="inlineStr">
        <is>
          <t>226. ARIEL BALTAZAR CÓRDOBA WILSON</t>
        </is>
      </c>
      <c r="D261" t="inlineStr">
        <is>
          <t>COWA700106TSRLR00</t>
        </is>
      </c>
      <c r="E261">
        <f>E333+1</f>
        <v/>
      </c>
      <c r="F261" t="inlineStr">
        <is>
          <t>C. 5-A DIAGONAL 239 X 18 Y 20, COL. JUAN B. SOSA, MERIDA, YUCATÁN, 97205</t>
        </is>
      </c>
      <c r="G261" t="n">
        <v>9994912883</v>
      </c>
      <c r="H261" t="inlineStr">
        <is>
          <t>atietzbabam@gmail.com</t>
        </is>
      </c>
      <c r="I261" t="inlineStr">
        <is>
          <t>ESCOPETA SEMIAUTOMATICA</t>
        </is>
      </c>
      <c r="J261" t="inlineStr">
        <is>
          <t>12 GA</t>
        </is>
      </c>
      <c r="K261" t="inlineStr">
        <is>
          <t>RETAY</t>
        </is>
      </c>
      <c r="L261" t="inlineStr">
        <is>
          <t>MASAY MARA</t>
        </is>
      </c>
      <c r="M261" t="inlineStr">
        <is>
          <t>73-H23YT-005654</t>
        </is>
      </c>
      <c r="N261" t="inlineStr">
        <is>
          <t>A3888062</t>
        </is>
      </c>
      <c r="O261" t="n">
        <v>0</v>
      </c>
      <c r="P261" t="n">
        <v>1</v>
      </c>
    </row>
    <row r="262">
      <c r="A262" t="n">
        <v>738</v>
      </c>
      <c r="B262" t="inlineStr">
        <is>
          <t>CALLE 50 No. 531-E x 69 y 71, CENTRO, 97000 MÉRIDA, YUC.</t>
        </is>
      </c>
      <c r="C262" t="inlineStr">
        <is>
          <t>226. ARIEL BALTAZAR CÓRDOBA WILSON</t>
        </is>
      </c>
      <c r="D262" t="inlineStr">
        <is>
          <t>COWA700106TSRLR00</t>
        </is>
      </c>
      <c r="E262">
        <f>E333+1</f>
        <v/>
      </c>
      <c r="F262" t="inlineStr">
        <is>
          <t>C. 5-A DIAGONAL 239 X 18 Y 20, COL. JUAN B. SOSA, MERIDA, YUCATÁN, 97205</t>
        </is>
      </c>
      <c r="G262" t="n">
        <v>9994912883</v>
      </c>
      <c r="H262" t="inlineStr">
        <is>
          <t>atietzbabam@gmail.com</t>
        </is>
      </c>
      <c r="I262" t="inlineStr">
        <is>
          <t>PISTOLA</t>
        </is>
      </c>
      <c r="J262" t="inlineStr">
        <is>
          <t>.380"</t>
        </is>
      </c>
      <c r="K262" t="inlineStr">
        <is>
          <t>BERSA</t>
        </is>
      </c>
      <c r="L262" t="inlineStr">
        <is>
          <t>THUNDER 380 COMBAT</t>
        </is>
      </c>
      <c r="M262" t="inlineStr">
        <is>
          <t>M58492</t>
        </is>
      </c>
      <c r="N262" t="inlineStr">
        <is>
          <t>A3832011</t>
        </is>
      </c>
      <c r="O262" t="n">
        <v>1</v>
      </c>
      <c r="P262" t="n">
        <v>0</v>
      </c>
    </row>
    <row r="263">
      <c r="A263" t="n">
        <v>738</v>
      </c>
      <c r="B263" t="inlineStr">
        <is>
          <t>CALLE 50 No. 531-E x 69 y 71, CENTRO, 97000 MÉRIDA, YUC.</t>
        </is>
      </c>
      <c r="C263" t="inlineStr">
        <is>
          <t>226. ARIEL BALTAZAR CÓRDOBA WILSON</t>
        </is>
      </c>
      <c r="D263" t="inlineStr">
        <is>
          <t>COWA700106TSRLR00</t>
        </is>
      </c>
      <c r="E263">
        <f>E333+1</f>
        <v/>
      </c>
      <c r="F263" t="inlineStr">
        <is>
          <t>C. 5-A DIAGONAL 239 X 18 Y 20, COL. JUAN B. SOSA, MERIDA, YUCATÁN, 97205</t>
        </is>
      </c>
      <c r="G263" t="n">
        <v>9994912883</v>
      </c>
      <c r="H263" t="inlineStr">
        <is>
          <t>atietzbabam@gmail.com</t>
        </is>
      </c>
      <c r="I263" t="inlineStr">
        <is>
          <t>PISTOLA</t>
        </is>
      </c>
      <c r="J263" t="inlineStr">
        <is>
          <t>0.380"</t>
        </is>
      </c>
      <c r="K263" t="inlineStr">
        <is>
          <t>GLOCK</t>
        </is>
      </c>
      <c r="L263" t="inlineStr">
        <is>
          <t>25</t>
        </is>
      </c>
      <c r="M263" t="inlineStr">
        <is>
          <t>UGL153</t>
        </is>
      </c>
      <c r="N263" t="inlineStr">
        <is>
          <t>A3267256</t>
        </is>
      </c>
      <c r="O263" t="n">
        <v>1</v>
      </c>
      <c r="P263" t="n">
        <v>0</v>
      </c>
    </row>
    <row r="264">
      <c r="A264" t="n">
        <v>738</v>
      </c>
      <c r="B264" t="inlineStr">
        <is>
          <t>CALLE 50 No. 531-E x 69 y 71, CENTRO, 97000 MÉRIDA, YUC.</t>
        </is>
      </c>
      <c r="C264" t="inlineStr">
        <is>
          <t>226. ARIEL BALTAZAR CÓRDOBA WILSON</t>
        </is>
      </c>
      <c r="D264" t="inlineStr">
        <is>
          <t>COWA700106TSRLR00</t>
        </is>
      </c>
      <c r="E264">
        <f>E333+1</f>
        <v/>
      </c>
      <c r="F264" t="inlineStr">
        <is>
          <t>C. 5-A DIAGONAL 239 X 18 Y 20, COL. JUAN B. SOSA, MERIDA, YUCATÁN, 97205</t>
        </is>
      </c>
      <c r="G264" t="n">
        <v>9994912883</v>
      </c>
      <c r="H264" t="inlineStr">
        <is>
          <t>atietzbabam@gmail.com</t>
        </is>
      </c>
      <c r="I264" t="inlineStr">
        <is>
          <t>PISTOLA</t>
        </is>
      </c>
      <c r="J264" t="inlineStr">
        <is>
          <t>.380" AUTO</t>
        </is>
      </c>
      <c r="K264" t="inlineStr">
        <is>
          <t>GRAND POWER</t>
        </is>
      </c>
      <c r="L264" t="inlineStr">
        <is>
          <t>LP380</t>
        </is>
      </c>
      <c r="M264" t="inlineStr">
        <is>
          <t>K102854</t>
        </is>
      </c>
      <c r="N264" t="inlineStr">
        <is>
          <t>A385379</t>
        </is>
      </c>
      <c r="O264" t="n">
        <v>1</v>
      </c>
      <c r="P264" t="n">
        <v>0</v>
      </c>
    </row>
    <row r="265">
      <c r="A265" t="n">
        <v>738</v>
      </c>
      <c r="B265" t="inlineStr">
        <is>
          <t>CALLE 50 No. 531-E x 69 y 71, CENTRO, 97000 MÉRIDA, YUC.</t>
        </is>
      </c>
      <c r="C265" t="inlineStr">
        <is>
          <t>228. FABIAN MARQUEZ ORTEGA</t>
        </is>
      </c>
      <c r="D265" t="inlineStr">
        <is>
          <t>MAOF620504HDFRRB06</t>
        </is>
      </c>
      <c r="E265">
        <f>E345+1</f>
        <v/>
      </c>
      <c r="F265" t="inlineStr">
        <is>
          <t>Calle 28 x 5 y 7 48-A Col Granjas Cholul, CP 97305, Merida, Yucatan</t>
        </is>
      </c>
      <c r="G265" t="n">
        <v>9993772793</v>
      </c>
      <c r="H265" t="inlineStr">
        <is>
          <t>fabian.sievers3548@gmail.com</t>
        </is>
      </c>
      <c r="I265" t="inlineStr">
        <is>
          <t>PISTOLA</t>
        </is>
      </c>
      <c r="J265" t="inlineStr">
        <is>
          <t>.22" L.R.</t>
        </is>
      </c>
      <c r="K265" t="inlineStr">
        <is>
          <t>BROWNING</t>
        </is>
      </c>
      <c r="L265" t="inlineStr">
        <is>
          <t>BUCKMARK CONTOUR</t>
        </is>
      </c>
      <c r="M265" t="inlineStr">
        <is>
          <t>US515YW33488</t>
        </is>
      </c>
      <c r="N265" t="inlineStr">
        <is>
          <t>A3916213</t>
        </is>
      </c>
      <c r="O265" t="n">
        <v>1</v>
      </c>
    </row>
    <row r="266">
      <c r="A266" t="n">
        <v>738</v>
      </c>
      <c r="B266" t="inlineStr">
        <is>
          <t>CALLE 50 No. 531-E x 69 y 71, CENTRO, 97000 MÉRIDA, YUC.</t>
        </is>
      </c>
      <c r="C266" t="inlineStr">
        <is>
          <t>228. FABIAN MARQUEZ ORTEGA</t>
        </is>
      </c>
      <c r="D266" t="inlineStr">
        <is>
          <t>MAOF620504HDFRRB06</t>
        </is>
      </c>
      <c r="E266">
        <f>E345+1</f>
        <v/>
      </c>
      <c r="F266" t="inlineStr">
        <is>
          <t>Calle 28 x 5 y 7 48-A Col Granjas Cholul, CP 97305, Merida, Yucatan</t>
        </is>
      </c>
      <c r="G266" t="n">
        <v>9993772793</v>
      </c>
      <c r="H266" t="inlineStr">
        <is>
          <t>fabian.sievers3548@gmail.com</t>
        </is>
      </c>
      <c r="I266" t="inlineStr">
        <is>
          <t>RIFLE</t>
        </is>
      </c>
      <c r="J266" t="inlineStr">
        <is>
          <t>.22" L.R.</t>
        </is>
      </c>
      <c r="K266" t="inlineStr">
        <is>
          <t>CESKA ZBROJOVKA</t>
        </is>
      </c>
      <c r="L266" t="inlineStr">
        <is>
          <t>457 PREMIUM</t>
        </is>
      </c>
      <c r="M266" t="inlineStr">
        <is>
          <t>J011779</t>
        </is>
      </c>
      <c r="N266" t="inlineStr">
        <is>
          <t>A3916216</t>
        </is>
      </c>
      <c r="P266" t="n">
        <v>1</v>
      </c>
    </row>
    <row r="267">
      <c r="A267" t="n">
        <v>738</v>
      </c>
      <c r="B267" t="inlineStr">
        <is>
          <t>CALLE 50 No. 531-E x 69 y 71, CENTRO, 97000 MÉRIDA, YUC.</t>
        </is>
      </c>
      <c r="C267" t="inlineStr">
        <is>
          <t>228. FABIAN MARQUEZ ORTEGA</t>
        </is>
      </c>
      <c r="D267" t="inlineStr">
        <is>
          <t>MAOF620504HDFRRB06</t>
        </is>
      </c>
      <c r="E267">
        <f>E345+1</f>
        <v/>
      </c>
      <c r="F267" t="inlineStr">
        <is>
          <t>Calle 28 x 5 y 7 48-A Col Granjas Cholul, CP 97305, Merida, Yucatan</t>
        </is>
      </c>
      <c r="G267" t="n">
        <v>9993772793</v>
      </c>
      <c r="H267" t="inlineStr">
        <is>
          <t>fabian.sievers3548@gmail.com</t>
        </is>
      </c>
      <c r="I267" t="inlineStr">
        <is>
          <t>PISTOLA</t>
        </is>
      </c>
      <c r="J267" t="inlineStr">
        <is>
          <t>.380" AUTO</t>
        </is>
      </c>
      <c r="K267" t="inlineStr">
        <is>
          <t>CESKA ZBROJOVKA</t>
        </is>
      </c>
      <c r="L267" t="inlineStr">
        <is>
          <t>CZ P-10 C</t>
        </is>
      </c>
      <c r="M267" t="inlineStr">
        <is>
          <t>EP29797</t>
        </is>
      </c>
      <c r="N267" t="inlineStr">
        <is>
          <t>A3916211</t>
        </is>
      </c>
      <c r="O267" t="n">
        <v>1</v>
      </c>
      <c r="P267" t="n">
        <v>0</v>
      </c>
    </row>
    <row r="268">
      <c r="A268" t="n">
        <v>738</v>
      </c>
      <c r="B268" t="inlineStr">
        <is>
          <t>CALLE 50 No. 531-E x 69 y 71, CENTRO, 97000 MÉRIDA, YUC.</t>
        </is>
      </c>
      <c r="C268" t="inlineStr">
        <is>
          <t>229. DANIEL DE JESUS PADILLA ROBLES</t>
        </is>
      </c>
      <c r="D268" t="inlineStr">
        <is>
          <t>PARD850710HCCDBN05</t>
        </is>
      </c>
      <c r="E268">
        <f>E347+1</f>
        <v/>
      </c>
      <c r="F268" t="inlineStr">
        <is>
          <t xml:space="preserve">Calle Tzolkin Num 48, Privada Kinish, Cholul, Merida, Yucatan, CP 97305 </t>
        </is>
      </c>
      <c r="G268" t="n">
        <v>9991650849</v>
      </c>
      <c r="H268" t="inlineStr">
        <is>
          <t>padilla_079@hotmail.com</t>
        </is>
      </c>
      <c r="I268" t="inlineStr">
        <is>
          <t>REVOLVER</t>
        </is>
      </c>
      <c r="J268" t="inlineStr">
        <is>
          <t>.38" SPL.</t>
        </is>
      </c>
      <c r="K268" t="inlineStr">
        <is>
          <t>COLT</t>
        </is>
      </c>
      <c r="L268" t="inlineStr">
        <is>
          <t>DETECTIVE</t>
        </is>
      </c>
      <c r="M268" t="inlineStr">
        <is>
          <t>C02127</t>
        </is>
      </c>
      <c r="N268" t="inlineStr">
        <is>
          <t>B624330</t>
        </is>
      </c>
      <c r="O268" t="n">
        <v>1</v>
      </c>
      <c r="P268" t="n">
        <v>0</v>
      </c>
    </row>
    <row r="269">
      <c r="A269" t="n">
        <v>738</v>
      </c>
      <c r="B269" t="inlineStr">
        <is>
          <t>CALLE 50 No. 531-E x 69 y 71, CENTRO, 97000 MÉRIDA, YUC.</t>
        </is>
      </c>
      <c r="C269" t="inlineStr">
        <is>
          <t>229. DANIEL DE JESUS PADILLA ROBLES</t>
        </is>
      </c>
      <c r="D269" t="inlineStr">
        <is>
          <t>PARD850710HCCDBN05</t>
        </is>
      </c>
      <c r="E269">
        <f>E347+1</f>
        <v/>
      </c>
      <c r="F269" t="inlineStr">
        <is>
          <t xml:space="preserve">Calle Tzolkin Num 48, Privada Kinish, Cholul, Merida, Yucatan, CP 97305 </t>
        </is>
      </c>
      <c r="G269" t="n">
        <v>9991650849</v>
      </c>
      <c r="H269" t="inlineStr">
        <is>
          <t>padilla_079@hotmail.com</t>
        </is>
      </c>
      <c r="I269" t="inlineStr">
        <is>
          <t>PISTOLA</t>
        </is>
      </c>
      <c r="J269" t="inlineStr">
        <is>
          <t>.22" L.R.</t>
        </is>
      </c>
      <c r="K269" t="inlineStr">
        <is>
          <t>CESKA ZBROJOVKA</t>
        </is>
      </c>
      <c r="L269" t="inlineStr">
        <is>
          <t>CZ P-09</t>
        </is>
      </c>
      <c r="M269" t="inlineStr">
        <is>
          <t>AP08758</t>
        </is>
      </c>
      <c r="N269" t="inlineStr">
        <is>
          <t>B587694</t>
        </is>
      </c>
      <c r="O269" t="n">
        <v>1</v>
      </c>
      <c r="P269" t="n">
        <v>0</v>
      </c>
    </row>
    <row r="270">
      <c r="A270" t="n">
        <v>738</v>
      </c>
      <c r="B270" t="inlineStr">
        <is>
          <t>CALLE 50 No. 531-E x 69 y 71, CENTRO, 97000 MÉRIDA, YUC.</t>
        </is>
      </c>
      <c r="C270" t="inlineStr">
        <is>
          <t>229. DANIEL DE JESUS PADILLA ROBLES</t>
        </is>
      </c>
      <c r="D270" t="inlineStr">
        <is>
          <t>PARD850710HCCDBN05</t>
        </is>
      </c>
      <c r="E270">
        <f>E347+1</f>
        <v/>
      </c>
      <c r="F270" t="inlineStr">
        <is>
          <t xml:space="preserve">Calle Tzolkin Num 48, Privada Kinish, Cholul, Merida, Yucatan, CP 97305 </t>
        </is>
      </c>
      <c r="G270" t="n">
        <v>9991650849</v>
      </c>
      <c r="H270" t="inlineStr">
        <is>
          <t>padilla_079@hotmail.com</t>
        </is>
      </c>
      <c r="I270" t="inlineStr">
        <is>
          <t>PISTOLA</t>
        </is>
      </c>
      <c r="J270" t="inlineStr">
        <is>
          <t>.380" AUTO</t>
        </is>
      </c>
      <c r="K270" t="inlineStr">
        <is>
          <t>CESKA ZBROJOVKA</t>
        </is>
      </c>
      <c r="L270" t="inlineStr">
        <is>
          <t>CZ P-10 C</t>
        </is>
      </c>
      <c r="M270" t="inlineStr">
        <is>
          <t>EP29734</t>
        </is>
      </c>
      <c r="N270" t="inlineStr">
        <is>
          <t>A3912448</t>
        </is>
      </c>
      <c r="O270" t="n">
        <v>1</v>
      </c>
    </row>
    <row r="271">
      <c r="A271" t="n">
        <v>738</v>
      </c>
      <c r="B271" t="inlineStr">
        <is>
          <t>CALLE 50 No. 531-E x 69 y 71, CENTRO, 97000 MÉRIDA, YUC.</t>
        </is>
      </c>
      <c r="C271" t="inlineStr">
        <is>
          <t>229. DANIEL DE JESUS PADILLA ROBLES</t>
        </is>
      </c>
      <c r="D271" t="inlineStr">
        <is>
          <t>PARD850710HCCDBN05</t>
        </is>
      </c>
      <c r="E271">
        <f>E347+1</f>
        <v/>
      </c>
      <c r="F271" t="inlineStr">
        <is>
          <t xml:space="preserve">Calle Tzolkin Num 48, Privada Kinish, Cholul, Merida, Yucatan, CP 97305 </t>
        </is>
      </c>
      <c r="G271" t="n">
        <v>9991650849</v>
      </c>
      <c r="H271" t="inlineStr">
        <is>
          <t>padilla_079@hotmail.com</t>
        </is>
      </c>
      <c r="I271" t="inlineStr">
        <is>
          <t>PISTOLA</t>
        </is>
      </c>
      <c r="J271" t="inlineStr">
        <is>
          <t>.380" AUTO</t>
        </is>
      </c>
      <c r="K271" t="inlineStr">
        <is>
          <t>CESKA ZBROJOVKA</t>
        </is>
      </c>
      <c r="L271" t="inlineStr">
        <is>
          <t>CZ P-07</t>
        </is>
      </c>
      <c r="M271" t="inlineStr">
        <is>
          <t>F187917</t>
        </is>
      </c>
      <c r="N271" t="inlineStr">
        <is>
          <t>B625008</t>
        </is>
      </c>
      <c r="O271" t="n">
        <v>1</v>
      </c>
    </row>
    <row r="272">
      <c r="A272" t="n">
        <v>738</v>
      </c>
      <c r="B272" t="inlineStr">
        <is>
          <t>CALLE 50 No. 531-E x 69 y 71, CENTRO, 97000 MÉRIDA, YUC.</t>
        </is>
      </c>
      <c r="C272" t="inlineStr">
        <is>
          <t>229. DANIEL DE JESUS PADILLA ROBLES</t>
        </is>
      </c>
      <c r="D272" t="inlineStr">
        <is>
          <t>PARD850710HCCDBN05</t>
        </is>
      </c>
      <c r="E272">
        <f>E347+1</f>
        <v/>
      </c>
      <c r="F272" t="inlineStr">
        <is>
          <t xml:space="preserve">Calle Tzolkin Num 48, Privada Kinish, Cholul, Merida, Yucatan, CP 97305 </t>
        </is>
      </c>
      <c r="G272" t="n">
        <v>9991650849</v>
      </c>
      <c r="H272" t="inlineStr">
        <is>
          <t>padilla_079@hotmail.com</t>
        </is>
      </c>
      <c r="I272" t="inlineStr">
        <is>
          <t>ESCOPETA UN CAÑON CON SISTEMA DE BOMBA</t>
        </is>
      </c>
      <c r="J272" t="inlineStr">
        <is>
          <t>12 GA</t>
        </is>
      </c>
      <c r="K272" t="inlineStr">
        <is>
          <t>ARMSAN</t>
        </is>
      </c>
      <c r="L272" t="inlineStr">
        <is>
          <t>P612</t>
        </is>
      </c>
      <c r="M272" t="inlineStr">
        <is>
          <t>59-H25PT-000026</t>
        </is>
      </c>
      <c r="N272" t="inlineStr">
        <is>
          <t>A3912450</t>
        </is>
      </c>
      <c r="P272" t="n">
        <v>1</v>
      </c>
    </row>
    <row r="273">
      <c r="A273" t="n">
        <v>738</v>
      </c>
      <c r="B273" t="inlineStr">
        <is>
          <t>CALLE 50 No. 531-E x 69 y 71, CENTRO, 97000 MÉRIDA, YUC.</t>
        </is>
      </c>
      <c r="C273" t="inlineStr">
        <is>
          <t>229. DANIEL DE JESUS PADILLA ROBLES</t>
        </is>
      </c>
      <c r="D273" t="inlineStr">
        <is>
          <t>PARD850710HCCDBN05</t>
        </is>
      </c>
      <c r="E273">
        <f>E347+1</f>
        <v/>
      </c>
      <c r="F273" t="inlineStr">
        <is>
          <t xml:space="preserve">Calle Tzolkin Num 48, Privada Kinish, Cholul, Merida, Yucatan, CP 97305 </t>
        </is>
      </c>
      <c r="G273" t="n">
        <v>9991650849</v>
      </c>
      <c r="H273" t="inlineStr">
        <is>
          <t>padilla_079@hotmail.com</t>
        </is>
      </c>
      <c r="I273" t="inlineStr">
        <is>
          <t>RIFLE SEMI-AUTOMATICO</t>
        </is>
      </c>
      <c r="J273" t="inlineStr">
        <is>
          <t>.22" L.R.</t>
        </is>
      </c>
      <c r="K273" t="inlineStr">
        <is>
          <t>MENDOZA</t>
        </is>
      </c>
      <c r="L273" t="inlineStr">
        <is>
          <t>RM22-1000 CENTENARIO</t>
        </is>
      </c>
      <c r="M273" t="inlineStr">
        <is>
          <t>RM2515680</t>
        </is>
      </c>
      <c r="N273" t="inlineStr">
        <is>
          <t>A3912449</t>
        </is>
      </c>
      <c r="P273" t="n">
        <v>1</v>
      </c>
    </row>
    <row r="274">
      <c r="A274" t="n">
        <v>738</v>
      </c>
      <c r="B274" t="inlineStr">
        <is>
          <t>CALLE 50 No. 531-E x 69 y 71, CENTRO, 97000 MÉRIDA, YUC.</t>
        </is>
      </c>
      <c r="C274" t="inlineStr">
        <is>
          <t>230. RICARDO ANTONIO SOBERANIS GAMBOA</t>
        </is>
      </c>
      <c r="D274" t="inlineStr">
        <is>
          <t>SOGR701015HYNBMC04</t>
        </is>
      </c>
      <c r="E274">
        <f>E351+1</f>
        <v/>
      </c>
      <c r="F274" t="inlineStr">
        <is>
          <t>Calle 23 S/N, T.C. 50641, Colonia San Antonio Hool, CP 97302, Mérida, Yucatán</t>
        </is>
      </c>
      <c r="G274" t="n">
        <v>9993437376</v>
      </c>
      <c r="H274" t="inlineStr">
        <is>
          <t>rsoberanis11@hotmail.com</t>
        </is>
      </c>
      <c r="I274" t="inlineStr">
        <is>
          <t>PISTOLA</t>
        </is>
      </c>
      <c r="J274" t="inlineStr">
        <is>
          <t>22" L.R.</t>
        </is>
      </c>
      <c r="K274" t="inlineStr">
        <is>
          <t>SIG SAUER</t>
        </is>
      </c>
      <c r="L274" t="inlineStr">
        <is>
          <t>P322</t>
        </is>
      </c>
      <c r="M274" t="inlineStr">
        <is>
          <t>73A05683</t>
        </is>
      </c>
      <c r="N274" t="inlineStr">
        <is>
          <t>A3845138</t>
        </is>
      </c>
      <c r="O274" t="n">
        <v>1</v>
      </c>
    </row>
    <row r="275">
      <c r="A275" t="n">
        <v>738</v>
      </c>
      <c r="B275" t="inlineStr">
        <is>
          <t>CALLE 50 No. 531-E x 69 y 71, CENTRO, 97000 MÉRIDA, YUC.</t>
        </is>
      </c>
      <c r="C275" t="inlineStr">
        <is>
          <t>230. RICARDO ANTONIO SOBERANIS GAMBOA</t>
        </is>
      </c>
      <c r="D275" t="inlineStr">
        <is>
          <t>SOGR701015HYNBMC04</t>
        </is>
      </c>
      <c r="E275">
        <f>E351+1</f>
        <v/>
      </c>
      <c r="F275" t="inlineStr">
        <is>
          <t>Calle 23 S/N, T.C. 50641, Colonia San Antonio Hool, CP 97302, Mérida, Yucatán</t>
        </is>
      </c>
      <c r="G275" t="n">
        <v>9993437376</v>
      </c>
      <c r="H275" t="inlineStr">
        <is>
          <t>rsoberanis11@hotmail.com</t>
        </is>
      </c>
      <c r="I275" t="inlineStr">
        <is>
          <t>RIFLE SEMI-AUTOMATICO</t>
        </is>
      </c>
      <c r="J275" t="inlineStr">
        <is>
          <t>22" L.R.</t>
        </is>
      </c>
      <c r="K275" t="inlineStr">
        <is>
          <t>RUGER</t>
        </is>
      </c>
      <c r="L275" t="inlineStr">
        <is>
          <t>10/22</t>
        </is>
      </c>
      <c r="M275" t="inlineStr">
        <is>
          <t>0014-07080</t>
        </is>
      </c>
      <c r="N275" t="inlineStr">
        <is>
          <t>B624593</t>
        </is>
      </c>
      <c r="P275" t="n">
        <v>1</v>
      </c>
    </row>
    <row r="276">
      <c r="A276" t="n">
        <v>738</v>
      </c>
      <c r="B276" t="inlineStr">
        <is>
          <t>CALLE 50 No. 531-E x 69 y 71, CENTRO, 97000 MÉRIDA, YUC.</t>
        </is>
      </c>
      <c r="C276" t="inlineStr">
        <is>
          <t>230. RICARDO ANTONIO SOBERANIS GAMBOA</t>
        </is>
      </c>
      <c r="D276" t="inlineStr">
        <is>
          <t>SOGR701015HYNBMC04</t>
        </is>
      </c>
      <c r="E276">
        <f>E351+1</f>
        <v/>
      </c>
      <c r="F276" t="inlineStr">
        <is>
          <t>Calle 23 S/N, T.C. 50641, Colonia San Antonio Hool, CP 97302, Mérida, Yucatán</t>
        </is>
      </c>
      <c r="G276" t="n">
        <v>9993437376</v>
      </c>
      <c r="H276" t="inlineStr">
        <is>
          <t>rsoberanis11@hotmail.com</t>
        </is>
      </c>
      <c r="I276" t="inlineStr">
        <is>
          <t>ESCOPETA DOS CAÑONES</t>
        </is>
      </c>
      <c r="J276" t="n">
        <v>20</v>
      </c>
      <c r="K276" t="inlineStr">
        <is>
          <t>J.B. RONGE FILF A LIEGE</t>
        </is>
      </c>
      <c r="L276" t="inlineStr">
        <is>
          <t>SIN</t>
        </is>
      </c>
      <c r="M276" t="n">
        <v>65937</v>
      </c>
      <c r="N276" t="inlineStr">
        <is>
          <t>B624607</t>
        </is>
      </c>
      <c r="P276" t="n">
        <v>1</v>
      </c>
    </row>
    <row r="277">
      <c r="A277" t="n">
        <v>738</v>
      </c>
      <c r="B277" t="inlineStr">
        <is>
          <t>CALLE 50 No. 531-E x 69 y 71, CENTRO, 97000 MÉRIDA, YUC.</t>
        </is>
      </c>
      <c r="C277" t="inlineStr">
        <is>
          <t xml:space="preserve">233. RICARDO MANUEL FERNÁNDEZ QUIJANO
</t>
        </is>
      </c>
      <c r="D277" t="inlineStr">
        <is>
          <t>FEQR591020HCCRJC07</t>
        </is>
      </c>
      <c r="E277">
        <f>E365+1</f>
        <v/>
      </c>
      <c r="F277" t="inlineStr">
        <is>
          <t>C. 37-A # 311 X 24 FRACC. MONTEALBAN
MERIDA, YUCATAN, CP 97114</t>
        </is>
      </c>
      <c r="G277" t="inlineStr">
        <is>
          <t>999 947 3043</t>
        </is>
      </c>
      <c r="H277" t="inlineStr">
        <is>
          <t>richfer1020@gmail.com</t>
        </is>
      </c>
      <c r="I277" t="inlineStr">
        <is>
          <t>PISTOLA</t>
        </is>
      </c>
      <c r="J277" t="inlineStr">
        <is>
          <t>0.380"</t>
        </is>
      </c>
      <c r="K277" t="inlineStr">
        <is>
          <t>GLOCK</t>
        </is>
      </c>
      <c r="L277" t="inlineStr">
        <is>
          <t>25</t>
        </is>
      </c>
      <c r="M277" t="inlineStr">
        <is>
          <t>UDV639</t>
        </is>
      </c>
      <c r="N277" t="inlineStr">
        <is>
          <t>B347208</t>
        </is>
      </c>
      <c r="O277" t="n">
        <v>1</v>
      </c>
      <c r="P2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2026-01-18T01:50:25Z</dcterms:created>
  <dcterms:modified xsi:type="dcterms:W3CDTF">2026-01-18T01:50:25Z</dcterms:modified>
</cp:coreProperties>
</file>