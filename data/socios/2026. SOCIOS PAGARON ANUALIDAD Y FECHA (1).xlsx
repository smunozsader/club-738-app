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 2026" sheetId="1" r:id="rId5"/>
  </sheets>
  <definedNames>
    <definedName hidden="1" localSheetId="0" name="_xlnm._FilterDatabase">'PAGOS 2026'!$A$1:$L$82</definedName>
  </definedNames>
  <calcPr/>
</workbook>
</file>

<file path=xl/sharedStrings.xml><?xml version="1.0" encoding="utf-8"?>
<sst xmlns="http://schemas.openxmlformats.org/spreadsheetml/2006/main" count="338" uniqueCount="334">
  <si>
    <t>NOMBRE</t>
  </si>
  <si>
    <t>CURP</t>
  </si>
  <si>
    <t>DOMICILIO DEL SOCIO</t>
  </si>
  <si>
    <t>TELEFONO</t>
  </si>
  <si>
    <t>EMAIL</t>
  </si>
  <si>
    <t>NO. DE SOCIO</t>
  </si>
  <si>
    <t>No. CONSEC. DE SOCIO</t>
  </si>
  <si>
    <t>FECHA PAGO 2026</t>
  </si>
  <si>
    <t>INCRIPCION 2026</t>
  </si>
  <si>
    <t>CUOTA 2026</t>
  </si>
  <si>
    <t>FEMETI 2026</t>
  </si>
  <si>
    <t>TOTAL</t>
  </si>
  <si>
    <t>RICARDO JESÚS FERNÁNDEZ Y GASQUE</t>
  </si>
  <si>
    <t>FEGR350218HYNRSC04</t>
  </si>
  <si>
    <t>CALLE 44 No. 438 x 21 y 23 FRACC. LOS PINOS, MÉRIDA, YUC. CP 97138</t>
  </si>
  <si>
    <t>richfegas@icloud.com</t>
  </si>
  <si>
    <t>JOSE JACINTO LIZARRAGA AVILA</t>
  </si>
  <si>
    <t>LIZJ750609HYNZVC08</t>
  </si>
  <si>
    <t>CALLE 25 x 22 y 24 No. 319, COL. SAN PEDRO CHOLUL, MÉRIDA, YUC. CP 97138</t>
  </si>
  <si>
    <t>9991336764</t>
  </si>
  <si>
    <t>jacintolizarraga@hotmail.com</t>
  </si>
  <si>
    <t>ADOLFO XACUR RIVERA</t>
  </si>
  <si>
    <t>XARA661008HYNCVD08</t>
  </si>
  <si>
    <t>Calle 36-B No. 285 x 33 y 35 COL. BENITO JUÁREZ, MÉRIDA, YUC. CP 97119</t>
  </si>
  <si>
    <t>fit.x66@hotmail.com</t>
  </si>
  <si>
    <t>REMIGIO BEETHOVEN AGUILAR CANTO</t>
  </si>
  <si>
    <t>AUCR770225HYNGNM08</t>
  </si>
  <si>
    <t>20 No. 50 x 5 y 7, COL. MÉXICO, MÉRIDA, YUC. CP 97128</t>
  </si>
  <si>
    <t>9999238686</t>
  </si>
  <si>
    <t>sysaventas@hotmail.com</t>
  </si>
  <si>
    <t>MANUEL JESÚS CHAIDEZ PALACIOS</t>
  </si>
  <si>
    <t>CAPM841222HSLHLN09</t>
  </si>
  <si>
    <t>DOMICILIO CONOCIDO ANEXO 3, CERCA DE LA COCINA, BECANCHEN, TEKAX, YUC.  CP 97960</t>
  </si>
  <si>
    <t>manuel.chaidez@valledelsur.com.mx</t>
  </si>
  <si>
    <t>PAULINO EDILBERTO MONFORTE TRAVA</t>
  </si>
  <si>
    <t>MOTP610622HYNNRL09</t>
  </si>
  <si>
    <t>CALLE 33 No. 331 x 18 y 20 FRACC. PEDREGALES DE TANLUM, MÉRIDA, YUC. CP 97200</t>
  </si>
  <si>
    <t>talleresmonforte@hotmail.com</t>
  </si>
  <si>
    <t>RIGOMAR HINOJOSA SHIELDS</t>
  </si>
  <si>
    <t>HISR591125HCCNHG06</t>
  </si>
  <si>
    <t>AV. EUGENIO ECHEVERRÍA CASTELLOT No. 37 ENTRE 36 Y 38, COL. PLAYA NORTE, CD. DEL CARMEN, CAMP. CP 24115</t>
  </si>
  <si>
    <t>recosadecv@prodigy.net.mx</t>
  </si>
  <si>
    <t>JUAN CARLOS JORDAN LOPEZ</t>
  </si>
  <si>
    <t>JOLJ720624HYNRPN04</t>
  </si>
  <si>
    <t>CALLE 16-B No. 225 x 39-B y 39-F COL. SAN PEDRO CHOLUL, MÉRIDA, YUC. CP 97138</t>
  </si>
  <si>
    <t>jordan910@hotmail.com</t>
  </si>
  <si>
    <t>JORGE ALFREDO DAWN MEDINA</t>
  </si>
  <si>
    <t>DAMJ690611HYNWDR03</t>
  </si>
  <si>
    <t>CALLE 47-C S/N x 2-A y 4 COL. LEANDRO VALLE DE CHICHI DÍAZ, MÉRIDA, YUC. CP 97143</t>
  </si>
  <si>
    <t>9999005153</t>
  </si>
  <si>
    <t>jorgedawn@prodigy.net.mx</t>
  </si>
  <si>
    <t>SERGIO SANTINELLI GRAJALES</t>
  </si>
  <si>
    <t>SAGS611114HDFNRR05</t>
  </si>
  <si>
    <t>CALLE KANHA No. 85, YUCATÁN COUNTRY CLUB, MÉRIDA, YUC. C.P. 97308</t>
  </si>
  <si>
    <t>ssg@santinelli.com.mx</t>
  </si>
  <si>
    <t>CLAUDIO MAURICIO CANAVATI FARAH</t>
  </si>
  <si>
    <t>CAFC660725HDFNRL03</t>
  </si>
  <si>
    <t>PASEO DE LOS AHUEHUETES No. 874, B NÍSPEROS Y B CASTAÑOS, BOSQUES DE LAS LOMAS, MIGUEL HIDALGO, MÉXICO, D.F. CP 05120</t>
  </si>
  <si>
    <t>5554536965</t>
  </si>
  <si>
    <t>cc@secure.mx</t>
  </si>
  <si>
    <t>ALEJANDRO FRANCISCO RIVAS PINTADO</t>
  </si>
  <si>
    <t>RIPA800807HYNVNL07</t>
  </si>
  <si>
    <t>CALLE 42 No. 194-A x 35 y 37, CENTRO, VALLADOLID, YUC. CP 97780</t>
  </si>
  <si>
    <t>al3xrivas@gmail.com</t>
  </si>
  <si>
    <t>JOSE VICENTE TRUJILLO LUCIC</t>
  </si>
  <si>
    <t>TULV760925HYNRCC04</t>
  </si>
  <si>
    <t xml:space="preserve">CALLE 32 NÚM. 232 B x 37 y 45 DIAGONAL, COLONIA SANTA RITA CHOLUL CP 97130
</t>
  </si>
  <si>
    <t>9999600269</t>
  </si>
  <si>
    <t>jvtl@hotmail.com</t>
  </si>
  <si>
    <t>EDGAR EDILBERTO MONFORTE ESCOBEDO</t>
  </si>
  <si>
    <t>MOEE870627HYNNSD04</t>
  </si>
  <si>
    <t>CALLE 35 No. 331 x 18 y 20, COL. PEDREGALES DE TANLUM, MÉRIDA, YUC. CP 97210</t>
  </si>
  <si>
    <t>monfo87_@hotmail.com</t>
  </si>
  <si>
    <t>JUAN CARLOS BRICEÑO GONZALEZ</t>
  </si>
  <si>
    <t>BIGJ760724HYNRNN06</t>
  </si>
  <si>
    <t>CALLE 17-A No. 389 x 16-A y 16-B, FRACC. PARAÍSO MAYA, MÉRIDA, YUC. CP 97134</t>
  </si>
  <si>
    <t>jcb197624@hotmail.com</t>
  </si>
  <si>
    <t>CARLOS ANTONIO GRANJA PEREZ</t>
  </si>
  <si>
    <t>GAPC790619HYNRRR09</t>
  </si>
  <si>
    <t>CALLE 35 No. 36 x 12 y 14, FRACC. COLONIAL CHUBURNA, MÉRIDA, YUC. CP 97215</t>
  </si>
  <si>
    <t>carlosgranja@gmail.com</t>
  </si>
  <si>
    <t>ROBERTO JOSE MADAHUAR BOEHM</t>
  </si>
  <si>
    <t>MABR671122HYNDHB07</t>
  </si>
  <si>
    <t>CALLE 41 No. 199 x 18, FRACC. MONTERREAL, MÉRIDA, YUC. CP 97133</t>
  </si>
  <si>
    <t>9999473478</t>
  </si>
  <si>
    <t>madahuar@cotexsa.com.mx</t>
  </si>
  <si>
    <t>HUGO MARTINEZ HERNANDEZ</t>
  </si>
  <si>
    <t>MAHH810329HYNRRG09</t>
  </si>
  <si>
    <t>CALLE 18 S/N, COL. SAN ANTONIO, HECELCHAKÁN, CAMP. CP 24800</t>
  </si>
  <si>
    <t>humh4@hotmail.com</t>
  </si>
  <si>
    <t>JOSE HIPOLITO BARRERA AKE</t>
  </si>
  <si>
    <t>BAAH530514HCCRKP07</t>
  </si>
  <si>
    <t>C. BENJAMIN ROMERO No. 64, U. HAB. CIUDAD CONCORDIA, CAMPECHE, CAMP. CP 24085</t>
  </si>
  <si>
    <t>josebadz@outlook.com</t>
  </si>
  <si>
    <t>ALEJANDRO JAVIER GARCÍA GAMBOA</t>
  </si>
  <si>
    <t>GAGA590307HYNRML03</t>
  </si>
  <si>
    <t>CALLE 60 No. 385 x 41 y 43, COL. CENTRO, MÉRIDA, YUC. CP 97000</t>
  </si>
  <si>
    <t>cudaosj@hotmail.com</t>
  </si>
  <si>
    <t>SERGIO MUÑOZ DE ALBA MEDRANO</t>
  </si>
  <si>
    <t>MUMS640728HDFXDR02</t>
  </si>
  <si>
    <t>CALLE 26 No. 246 x 15 DEPTO. B COL VISTA ALEGRE, MÉRIDA, YUC. C.P. 97130</t>
  </si>
  <si>
    <t>smunozam@gmail.com</t>
  </si>
  <si>
    <t>ALEJANDRO GOMORY MARTINEZ</t>
  </si>
  <si>
    <t>GOMA780511HYNMRL05</t>
  </si>
  <si>
    <t>CALLE 30 No. 275-A, 53 LT. x 21-B y 55, FRACC. XAMAN KAB, MÉRIDA, YUC. C.P. 97117</t>
  </si>
  <si>
    <t>agm@galletasdonde.com</t>
  </si>
  <si>
    <t>JAVIER RUZ PERAZA</t>
  </si>
  <si>
    <t>RUPJ920129HYNZRV07</t>
  </si>
  <si>
    <t>CALLE 17 No. 87 x 16 y 18, COL. MÉXICO NORTE, MÉRIDA, YUC. C.P. 97128</t>
  </si>
  <si>
    <t>javier_ruzperaza@hotmail.com</t>
  </si>
  <si>
    <t>HANS JURGEN THIES BARBACHANO</t>
  </si>
  <si>
    <t>TIBH730728HQRHRN08</t>
  </si>
  <si>
    <t>CALLE 41 No. 162 x 36-D y 38, COL. BENITO JUÁREZ NORTE, MÉRIDA, YUC. C.P. 97119</t>
  </si>
  <si>
    <t>hanstb@gmail.com</t>
  </si>
  <si>
    <t>DAVID HOMERO SCHOLZ MORENO</t>
  </si>
  <si>
    <t>SOMD831110HTSCRV04</t>
  </si>
  <si>
    <t>CALLE 29 No. 471 x 42 y 46-A, COL. GONZALO GUERRERO, MÉRIDA, YUC. C.P. 97118</t>
  </si>
  <si>
    <t>david_xolz@hotmail.com</t>
  </si>
  <si>
    <t>JOSE GILBERTO HERNANDEZ CARRILLO</t>
  </si>
  <si>
    <t>HECG720131HYNRRL06</t>
  </si>
  <si>
    <t>CALLE 2 No. 343 x 29 y 31, COL. SALVADOR ALVARADO SUR, MÉRIDA, YUC. C.P. 97196</t>
  </si>
  <si>
    <t>josegilbertohernandezcarrillo@gmail.com</t>
  </si>
  <si>
    <t>EZEQUIEL GALVAN VAZQUEZ</t>
  </si>
  <si>
    <t>GAVE680401HTSLZZ02</t>
  </si>
  <si>
    <t>CALLE 31 No. 197 x 20 y 22, FRACC. LIMONES, MÉRIDA, YUC. C.P. 97219</t>
  </si>
  <si>
    <t>galvani@hotmail.com</t>
  </si>
  <si>
    <t>AGUSTIN MORENO VILLALOBOS</t>
  </si>
  <si>
    <t>MOVA910904HCCRLG09</t>
  </si>
  <si>
    <t>CALLE 16 S/N x 19 y 21, CENTRO, CANDELARIA, CAMP. C.P. 24330</t>
  </si>
  <si>
    <t>RAFAEL RIVAS POLANCO</t>
  </si>
  <si>
    <t>RIPR580721HYNVLF06</t>
  </si>
  <si>
    <t>CALLE 12 No. 404-C x 15-A y 17 COL. DÍAZ ORDAZ, MÉRIDA, YUC. C.P. 97130</t>
  </si>
  <si>
    <t>rafael-rivas-p@hotmail.com</t>
  </si>
  <si>
    <t>ALEJANDRA GEORGINA PINTADO VILLAFAÑA</t>
  </si>
  <si>
    <t>PIVA591215MDFNLL09</t>
  </si>
  <si>
    <t>alejandrapintado@yahoo.com.mx</t>
  </si>
  <si>
    <t>ANTONIO RAMÓN SANTA CRUZ POLANCO CABRALES</t>
  </si>
  <si>
    <t>SACA740719HDFNBN03</t>
  </si>
  <si>
    <t>CALLE 28 No. 168-A x 21-A y 21-B, FRACC. SAN PEDRO CHOLUL, MÉRIDA, YUC. C.P. 97138</t>
  </si>
  <si>
    <t>tonysantacruz@hotmail.com</t>
  </si>
  <si>
    <t>MARCO ANTONIO SANTA CRUZ POLANCO CORDOVA</t>
  </si>
  <si>
    <t>SACM001023HYNNRRA7</t>
  </si>
  <si>
    <t>marcotonyjr@hotmail.com</t>
  </si>
  <si>
    <t>CHAFI XACUR RIVERA</t>
  </si>
  <si>
    <t>XACR701106HYNCVH07</t>
  </si>
  <si>
    <t>C. 19-B No. 602 x 88, FRACC. ALGARROBOS, MÉRIDA, YUC. C.P. 97300</t>
  </si>
  <si>
    <t>chafi70@hotmail.com</t>
  </si>
  <si>
    <t>JUAN CARLOS MAÑE ORTIZ</t>
  </si>
  <si>
    <t>MAOJ741116HYNXRN02</t>
  </si>
  <si>
    <t>C. 59 No. 142 x 22, FRACC. VILLAS DE CONKAL, COL. CENTRO, CONKAL, YUC. C.P. 97135</t>
  </si>
  <si>
    <t>jcmaneo@hotmail.com</t>
  </si>
  <si>
    <t>CELESTINO SÁNCHEZ FERNÁNDEZ</t>
  </si>
  <si>
    <t>SAFC680731HDFNRL07</t>
  </si>
  <si>
    <t>CALLE 20 No. 11399 x 29 y 29-B, SAN JOSE CHOLUL, MÉRIDA, YUC. C.P. 97305</t>
  </si>
  <si>
    <t>tinosanchezf@yahoo.com.mx</t>
  </si>
  <si>
    <t>SANTIAGO ALEJANDRO QUINTAL PAREDES</t>
  </si>
  <si>
    <t>QUPS901102HYNNRN04</t>
  </si>
  <si>
    <t>CALLE 14 SIN NUMERO
CHOCHOLA, YUCATAN
CP 97816, YUCATAN</t>
  </si>
  <si>
    <t>squintal158@gmail.com</t>
  </si>
  <si>
    <t>LUIS FERNANDO GUILLERMO GAMBOA</t>
  </si>
  <si>
    <t>999 242 0621</t>
  </si>
  <si>
    <t>oso.guigam@gmail.com</t>
  </si>
  <si>
    <t>236</t>
  </si>
  <si>
    <t>RODRIGO GARCÍA ESCALANTE</t>
  </si>
  <si>
    <t>GAER870129HYNRSD09</t>
  </si>
  <si>
    <t>CALLE 13 No. 757 x 78 A, CDA. BEGONIAS, GRAN SANTA FE NORTE II, CAUCEL, YUC. C.P. 97314</t>
  </si>
  <si>
    <t>rodrigo.garcia.e@live.com.mx</t>
  </si>
  <si>
    <t>JULIO RETANA VILLARREAL</t>
  </si>
  <si>
    <t>REVJ510801HDGTLL01</t>
  </si>
  <si>
    <t>C. 27 No. 331 x 40 y 42 SODZIL NORTE, MÉRIDA, YUC. C.P. 97115</t>
  </si>
  <si>
    <t>jretana@live.com.mx</t>
  </si>
  <si>
    <t>DAVID AZAR CÁMARA</t>
  </si>
  <si>
    <t>AACD910605HYNZMV00</t>
  </si>
  <si>
    <t>C. 12-A No. 61, SANTA GERTRUDIS COPO, MÉRIDA, YUC. C.P. 97305</t>
  </si>
  <si>
    <t>d@azarcorp.mx</t>
  </si>
  <si>
    <t>ENRIQUE GAONA CASTAÑEDA</t>
  </si>
  <si>
    <t>GACE770131HDFNFN04</t>
  </si>
  <si>
    <t>C. 137 No. 1295, FRACC. DIAMANTE OPICHEN, MÉRIDA, YUC. C.P. 97249</t>
  </si>
  <si>
    <t>quiquis77@hotmail.com</t>
  </si>
  <si>
    <t>ARMANDO PARDIÑAZ ALCANTARA</t>
  </si>
  <si>
    <t>PAAA710213HDFRLR07</t>
  </si>
  <si>
    <t>C. 29 No. 216 x 4 y 6, SANTA MARIA CHI, MÉRIDA, YUC. C.P.97306</t>
  </si>
  <si>
    <t>armando.pard@gmail.com</t>
  </si>
  <si>
    <t>JOAQUIN RODOLFO GARDONI NUÑEZ</t>
  </si>
  <si>
    <t>GANJ7408O7HDFRXQ04</t>
  </si>
  <si>
    <t>AUSTRAL No. 35, KM. 15.5, FRACC. COMPOSTELA XCANATUN, CONKAL, YUC. C.P. 97345</t>
  </si>
  <si>
    <t>jrgardoni@gmail.com</t>
  </si>
  <si>
    <t>J. JESÚS VALENCIA ROJAS</t>
  </si>
  <si>
    <t>VARJ861111HMNLJS03</t>
  </si>
  <si>
    <t>C. 26 S/N x 53 y 55, TEKAX DE ALVARO OBREGON, TEKAX, YUC. C.P. 97970</t>
  </si>
  <si>
    <t>valenciarojasjjesus@gmail.com</t>
  </si>
  <si>
    <t>BRAYER KERMITH VERDE CHIN</t>
  </si>
  <si>
    <t>VECB750917HYNRHR03</t>
  </si>
  <si>
    <t>C. 18-A x 31-D y 35, COL. NUEVA ALEMÁN, MÉRIDA, YUC. C.P. 97146</t>
  </si>
  <si>
    <t>brayerbyv@gmail.com</t>
  </si>
  <si>
    <t>ROGER IRÁN MÉNDEZ CARRILLO</t>
  </si>
  <si>
    <t xml:space="preserve"> MECR871030HYNNRG05</t>
  </si>
  <si>
    <t>C. 22C # 247 X 19, FRACC. ALTABRISA, CP 97130, MÉRIDA, YUCATÁN</t>
  </si>
  <si>
    <t>rafle_30@hotmail.com</t>
  </si>
  <si>
    <t>MANUEL JESÚS TZAB CHUC</t>
  </si>
  <si>
    <t>TACM750410HYNZHN05</t>
  </si>
  <si>
    <t>C. 103 # 624 X 142 Y 144, FRACC. LOS HEROES. MÉRIDA, YUCATÁN. CP 97306</t>
  </si>
  <si>
    <t>mjtzab@yahoo.com</t>
  </si>
  <si>
    <t>EDUARDO JOSE ARZAMENDI MONTEJO</t>
  </si>
  <si>
    <t>AAME760820HYNRND04</t>
  </si>
  <si>
    <t>CALLE 30-A No. 502-N x 69-A y 71, COL. AZCORRA, MÉRIDA, YUC. C.P. 97177</t>
  </si>
  <si>
    <t>mayayuc3006@gmail.com</t>
  </si>
  <si>
    <t>RICARDO ERNESTO CASTILLO MANCERA</t>
  </si>
  <si>
    <t>CAMR840315HYNSNC08</t>
  </si>
  <si>
    <t>CARR MÉRIDA PROGRESO KM 10.5 
TABLAJE 19153, TEMOZON NTE 
C.P. 97300. MÉRIDA, YUC.</t>
  </si>
  <si>
    <t>dr.ricardocastillo@me.com</t>
  </si>
  <si>
    <t>EDGARDO RAUL GÓMEZ ARZAMENDI</t>
  </si>
  <si>
    <t>GOAE840623HYNMRD00</t>
  </si>
  <si>
    <t>CALLE 7 NO 567 X 66 Y 68, PENSIONES, MÉRIDA, YUCATÁN, MÉXICO</t>
  </si>
  <si>
    <t>cpedgardo_gomez@hotmail.com</t>
  </si>
  <si>
    <t>MARIA DOLORES DAVIS BETANZOS</t>
  </si>
  <si>
    <t>DABD900923MDFVTL03</t>
  </si>
  <si>
    <t>TABLAJE 13037 DEPTO, 19 GRAND VIEW 6 Y 8
CHOLUL, MÉRIDA, YUCATÁN, C.P. 97305</t>
  </si>
  <si>
    <t>lolita@concepthaus.mx</t>
  </si>
  <si>
    <t>SANTIAGO LAMAS RINGENBACH</t>
  </si>
  <si>
    <t>LARS970906HYNMNN09</t>
  </si>
  <si>
    <t>CALLE 22 X 15 # 94-A 
CHOLUL, MÉRIDA, YUCATÁN, CP 97305</t>
  </si>
  <si>
    <t>santiago100100@hotmail.com</t>
  </si>
  <si>
    <t>ERNESTO GONZALEZ PICCOLO</t>
  </si>
  <si>
    <t>GOPE850306HDFNCR03</t>
  </si>
  <si>
    <t>C 40 POR 67 Y 69 234
COL MONTES DE AME. MÉRIDA, YUC. CP 97115</t>
  </si>
  <si>
    <t>egpiccolo@gmail.com</t>
  </si>
  <si>
    <t>MARIA FERNANDA GUADALUPE ARECHIGA RAMOS</t>
  </si>
  <si>
    <t>AERF781023MDFRMR09</t>
  </si>
  <si>
    <t>TABLAJE 15687 LOTE 35 COMPOSTELA, 
XCANATUN, MÉRIDA, YUCATÁN</t>
  </si>
  <si>
    <t>arechiga@jogarplastics.com</t>
  </si>
  <si>
    <t>GERARDO ANTONIO FERNÁNDEZ QUIJANO</t>
  </si>
  <si>
    <t>FEQG630819HCCRJR06</t>
  </si>
  <si>
    <t>Circuito Pablo García Oeste # 2, esquina con Eduardo Lavalle. 
Ciudad Concordia. 
Campeche, Campeche. 24085.</t>
  </si>
  <si>
    <t>gfernandez63@gmail.com</t>
  </si>
  <si>
    <t>IVAN TSUIS CABO TORRES</t>
  </si>
  <si>
    <t>CATI771216HNEBRV03</t>
  </si>
  <si>
    <t>C. 43 322 X 36 Y 36A, San Ramón Norte, 97117 MÉRIDA, Yucatán</t>
  </si>
  <si>
    <t>ivancabo@gmail.com</t>
  </si>
  <si>
    <t>SERGIO FERNANDO MARTINEZ AGUILAR</t>
  </si>
  <si>
    <t>MAAS720901HCCRGR07</t>
  </si>
  <si>
    <t>Calle 74 No. 629 x 37-A y 39, Fracc. Jardines de Caucel, MÉRIDA, Yuc. CP 97314</t>
  </si>
  <si>
    <t>martinezasergio@hotmail.com</t>
  </si>
  <si>
    <t>ALEJANDRO OLIVER ROBERT EASTMOND</t>
  </si>
  <si>
    <t>ROEA841021HYNBSL09</t>
  </si>
  <si>
    <t>Calle 20A Núm 407 x 33 y 35.
Colonia Nueva Alemán
C.P. 97145 MÉRIDA, Yuc.</t>
  </si>
  <si>
    <t>arobert01@protonmail.com</t>
  </si>
  <si>
    <t>JUAN CARLOS RAMIREZ GOMEZ</t>
  </si>
  <si>
    <t>RAGJ831020HDFMMN08</t>
  </si>
  <si>
    <t>C. 81 112-2, Temozon Norte, 97302 MÉRIDA, Yuc.</t>
  </si>
  <si>
    <t>olga.garcia@mayaseguridad.mx</t>
  </si>
  <si>
    <t>GADDI OTHONIEL CAAMAL PUC</t>
  </si>
  <si>
    <t>CAPG891110HYNMCD00</t>
  </si>
  <si>
    <t>CALLE 9 NÚM 681 X 74A y 74D, Cerrada Las Dalias, Gran Santa Fe, MÉRIDA, YUCATÁN. CP 97314</t>
  </si>
  <si>
    <t>gocaamal@hotmail.com</t>
  </si>
  <si>
    <t>GUIDO RENY CUEVAS ABRAHAM</t>
  </si>
  <si>
    <t>CUAG750301HYNVBD00</t>
  </si>
  <si>
    <t>Calle 15 NÚM 314 x 32 y 34 Montecarlo, MÉRIDA, Yucatán, CP 97130</t>
  </si>
  <si>
    <t>guidorcuevasabraham@gmail.com</t>
  </si>
  <si>
    <t>SANTIAGO RUEDA ESCOBEDO</t>
  </si>
  <si>
    <t>RUES971109HCCDSN07</t>
  </si>
  <si>
    <t>C. 65 87, Col. Justo Sierra, 24114 Ciudad del Carmen, Campeche</t>
  </si>
  <si>
    <t>santiagorueda2@gmail.com</t>
  </si>
  <si>
    <t>RICARDO ALBERTO DESQUENS BONILLA</t>
  </si>
  <si>
    <t>DEBR700911HDFSNC06</t>
  </si>
  <si>
    <t>Calle 51-C # 643 x 72 y 72-A, Real Montejo, MÉRIDA, YUCATÁN CP 97302</t>
  </si>
  <si>
    <t>ridesquens@yahoo.com.mx</t>
  </si>
  <si>
    <t>JESUS ALEJANDRO PUC SOSA</t>
  </si>
  <si>
    <t>PUSJ000131HYNCSSA4</t>
  </si>
  <si>
    <t>C. 53 entre 58 y 60 NÚM. 425, Centro, 97700, Tizimín, Yucatán</t>
  </si>
  <si>
    <t>alejandro18sosa@gmail.com</t>
  </si>
  <si>
    <t>JOSE GIL HEREDIA HAGAR</t>
  </si>
  <si>
    <t>HEHG860310HYNRGL05</t>
  </si>
  <si>
    <t>C. 46 480 X 33 Y 31 A, COL. NUEVA YUCATAN, CP 97147, MERIDA, YUCATAN</t>
  </si>
  <si>
    <t>999 900 1366</t>
  </si>
  <si>
    <t>jgheredia@hotmail.com</t>
  </si>
  <si>
    <t>EDUARDO DENIS HERRERA</t>
  </si>
  <si>
    <t>DEHE890423HDFNRD03</t>
  </si>
  <si>
    <t>CALLE 23-A x 16 y 18 No. 220, COL. SAN MIGUEL, MÉRIDA, YUC. C.P. 97140</t>
  </si>
  <si>
    <t>lalodenis23@hotmail.com</t>
  </si>
  <si>
    <t>ARIEL BALTAZAR CÓRDOBA WILSON</t>
  </si>
  <si>
    <t>COWA700106TSRLR00</t>
  </si>
  <si>
    <t>C. 5-A DIAGONAL 239 X 18 Y 20, COL. JUAN B. SOSA, MERIDA, YUCATÁN, 97205</t>
  </si>
  <si>
    <t>atietzbabam@gmail.com</t>
  </si>
  <si>
    <t>KRISZTIAN GOR</t>
  </si>
  <si>
    <t>GOXK740906HNERXR09</t>
  </si>
  <si>
    <t>Calle 35 SN INT. townhouse Temozón Norte, Mérida Yucatán 97302</t>
  </si>
  <si>
    <t>+13213470270</t>
  </si>
  <si>
    <t>ttok09136@gmail.com</t>
  </si>
  <si>
    <t>FABIAN MARQUEZ ORTEGA</t>
  </si>
  <si>
    <t>MAOF620504HDFRRB06</t>
  </si>
  <si>
    <t>Calle 28 x 5 y 7 48-A Col Granjas Cholul, CP 97305, Merida, Yucatan</t>
  </si>
  <si>
    <t>fabian.sievers3548@gmail.com</t>
  </si>
  <si>
    <t>DANIEL DE JESUS PADILLA ROBLES</t>
  </si>
  <si>
    <t>PARD850710HCCDBN05</t>
  </si>
  <si>
    <t xml:space="preserve">Calle Tzolkin Num 48, Privada Kinish, Cholul, Merida, Yucatan, CP 97305 </t>
  </si>
  <si>
    <t>padilla_079@hotmail.com</t>
  </si>
  <si>
    <t>RICARDO ANTONIO SOBERANIS GAMBOA</t>
  </si>
  <si>
    <t>SOGR701015HYNBMC04</t>
  </si>
  <si>
    <t>Calle 23 S/N, T.C. 50641, Colonia San Antonio Hool, CP 97302, Mérida, Yucatán</t>
  </si>
  <si>
    <t>rsoberanis11@hotmail.com</t>
  </si>
  <si>
    <t>RAÚL CERVANTES CEBALLOS</t>
  </si>
  <si>
    <t>CECR890104HYNRBL02</t>
  </si>
  <si>
    <t>C 13 POR 62 Y 64 655
RESIDENCIAL PENSIONES 97219
MERIDA, YUC.</t>
  </si>
  <si>
    <t>rcervantes@live.com.mx</t>
  </si>
  <si>
    <t>RICARDO DANIEL FERNÁNDEZ PÉREZ</t>
  </si>
  <si>
    <t>FEPR920403HYNRRC06</t>
  </si>
  <si>
    <t>C. 37-A # 311 X 24 FRACC. MONTEALBAN
MERIDA, YUCATAN, CP 97114</t>
  </si>
  <si>
    <t>999 163 9981</t>
  </si>
  <si>
    <t>richfer0304@gmail.com</t>
  </si>
  <si>
    <t>RICARDO MANUEL FERNÁNDEZ QUIJANO</t>
  </si>
  <si>
    <t>FEQR591020HCCRJC07</t>
  </si>
  <si>
    <t>999 947 3043</t>
  </si>
  <si>
    <t>richfer1020@gmail.com</t>
  </si>
  <si>
    <t>YAEL ROMERO DE DIOS</t>
  </si>
  <si>
    <t>RODY940625HYNMSL01</t>
  </si>
  <si>
    <t>Calle 111 No 514 x 132 y 134A Fraccionamiento los Héroes. 
Mérida, Yucatán</t>
  </si>
  <si>
    <t>999 528 7779</t>
  </si>
  <si>
    <t>licyaelromero@gmail.com</t>
  </si>
  <si>
    <t>AIMEE GOMEZ MENDOZA</t>
  </si>
  <si>
    <t>GOMA940118MVZMNM00</t>
  </si>
  <si>
    <t>C 63 D POR 88 TAB 42155
LOC DZITYA 97302
MERIDA, YUC.</t>
  </si>
  <si>
    <t>999 730 0081</t>
  </si>
  <si>
    <t>aimeegomez615@gmail.com</t>
  </si>
  <si>
    <t>ARIEL ANTONIO PAREDES CETINA</t>
  </si>
  <si>
    <t>PACA840803HYNRTR08</t>
  </si>
  <si>
    <t>CALLE 129 NO. 584 X 138 Y 140
FRACC LOS HEROES
MÉRIDA, YUCATÁN CP 97306</t>
  </si>
  <si>
    <t>lic.arielparedescetina@hotmail.com</t>
  </si>
  <si>
    <t>numero de socios incluidos en esta liquidacion</t>
  </si>
  <si>
    <t>FECHA</t>
  </si>
  <si>
    <t>ENTREGA</t>
  </si>
  <si>
    <t>RECIBE</t>
  </si>
  <si>
    <t>MVZ SERGIO MUÑOZ DE ALBA MEDRANO</t>
  </si>
  <si>
    <t>GRAL. BGDA. D.E.M. RICARDO J. FERNÁNDEZ Y GASQUE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</si>
</sst>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&quot;$&quot;#,##0"/>
    <numFmt numFmtId="166" formatCode="&quot;$&quot;#,##0.00"/>
    <numFmt numFmtId="167" formatCode="&quot;$&quot;#,##0.0"/>
  </numFmts>
  <fonts count="6">
    <font>
      <sz val="11.0"/>
      <color theme="1"/>
      <name val="Calibri"/>
      <scheme val="minor"/>
    </font>
    <font>
      <sz val="15.0"/>
      <color theme="1"/>
      <name val="Arial Narrow"/>
    </font>
    <font>
      <b/>
      <sz val="15.0"/>
      <color rgb="FFFF0000"/>
      <name val="Arial Narrow"/>
    </font>
    <font/>
    <font>
      <b/>
      <sz val="15.0"/>
      <color theme="1"/>
      <name val="Arial Narrow"/>
    </font>
    <font>
      <sz val="15.0"/>
      <color rgb="FFFF0000"/>
      <name val="Arial Narrow"/>
    </font>
  </fonts>
  <fills count="2">
    <fill>
      <patternFill patternType="none"/>
    </fill>
    <fill>
      <patternFill patternType="lightGray"/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readingOrder="0" vertical="center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" numFmtId="166" xfId="0" applyAlignment="1" applyBorder="1" applyFont="1" applyNumberFormat="1">
      <alignment readingOrder="0" shrinkToFit="0" vertical="center" wrapText="1"/>
    </xf>
    <xf borderId="1" fillId="0" fontId="1" numFmtId="166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165" xfId="0" applyAlignment="1" applyBorder="1" applyFont="1" applyNumberFormat="1">
      <alignment readingOrder="0" vertical="center"/>
    </xf>
    <xf borderId="1" fillId="0" fontId="1" numFmtId="166" xfId="0" applyAlignment="1" applyBorder="1" applyFont="1" applyNumberFormat="1">
      <alignment readingOrder="0" vertical="center"/>
    </xf>
    <xf borderId="1" fillId="0" fontId="1" numFmtId="166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quotePrefix="1"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Font="1"/>
    <xf borderId="0" fillId="0" fontId="5" numFmtId="49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readingOrder="0" vertical="center"/>
    </xf>
    <xf borderId="0" fillId="0" fontId="1" numFmtId="167" xfId="0" applyAlignment="1" applyFont="1" applyNumberFormat="1">
      <alignment vertical="center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3" fillId="0" fontId="4" numFmtId="164" xfId="0" applyAlignment="1" applyBorder="1" applyFont="1" applyNumberForma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readingOrder="0" vertical="center"/>
    </xf>
    <xf borderId="4" fillId="0" fontId="4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86"/>
    <col customWidth="1" min="2" max="2" width="30.86"/>
    <col customWidth="1" min="3" max="3" width="37.43"/>
    <col customWidth="1" min="4" max="4" width="16.29"/>
    <col customWidth="1" min="5" max="5" width="42.86"/>
    <col customWidth="1" min="6" max="6" width="17.0"/>
    <col customWidth="1" min="7" max="7" width="17.43"/>
    <col customWidth="1" min="8" max="8" width="23.71"/>
    <col customWidth="1" min="9" max="9" width="16.71"/>
    <col customWidth="1" min="10" max="10" width="15.43"/>
    <col customWidth="1" min="11" max="11" width="13.86"/>
    <col customWidth="1" min="12" max="12" width="15.43"/>
    <col customWidth="1" min="13" max="13" width="10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/>
    </row>
    <row r="2">
      <c r="A2" s="1" t="s">
        <v>12</v>
      </c>
      <c r="B2" s="2" t="s">
        <v>13</v>
      </c>
      <c r="C2" s="3" t="s">
        <v>14</v>
      </c>
      <c r="D2" s="2">
        <v>9.99947048E9</v>
      </c>
      <c r="E2" s="2" t="s">
        <v>15</v>
      </c>
      <c r="F2" s="4">
        <v>1.0</v>
      </c>
      <c r="G2" s="2">
        <v>1.0</v>
      </c>
      <c r="H2" s="5"/>
      <c r="I2" s="10"/>
      <c r="J2" s="10"/>
      <c r="K2" s="11"/>
      <c r="L2" s="12">
        <f t="shared" ref="L2:L78" si="1">K2+J2+I2</f>
        <v>0</v>
      </c>
      <c r="M2" s="13"/>
    </row>
    <row r="3">
      <c r="A3" s="1" t="s">
        <v>16</v>
      </c>
      <c r="B3" s="2" t="s">
        <v>17</v>
      </c>
      <c r="C3" s="3" t="s">
        <v>18</v>
      </c>
      <c r="D3" s="14" t="s">
        <v>19</v>
      </c>
      <c r="E3" s="2" t="s">
        <v>20</v>
      </c>
      <c r="F3" s="4">
        <v>30.0</v>
      </c>
      <c r="G3" s="2">
        <v>2.0</v>
      </c>
      <c r="H3" s="5"/>
      <c r="I3" s="10"/>
      <c r="J3" s="10"/>
      <c r="K3" s="11"/>
      <c r="L3" s="12">
        <f t="shared" si="1"/>
        <v>0</v>
      </c>
      <c r="M3" s="13"/>
    </row>
    <row r="4">
      <c r="A4" s="1" t="s">
        <v>21</v>
      </c>
      <c r="B4" s="2" t="s">
        <v>22</v>
      </c>
      <c r="C4" s="3" t="s">
        <v>23</v>
      </c>
      <c r="D4" s="2">
        <v>9.992442613E9</v>
      </c>
      <c r="E4" s="2" t="s">
        <v>24</v>
      </c>
      <c r="F4" s="4">
        <v>31.0</v>
      </c>
      <c r="G4" s="2">
        <v>3.0</v>
      </c>
      <c r="H4" s="5">
        <v>46060.0</v>
      </c>
      <c r="I4" s="10"/>
      <c r="J4" s="10">
        <v>6500.0</v>
      </c>
      <c r="K4" s="11">
        <v>350.0</v>
      </c>
      <c r="L4" s="12">
        <f t="shared" si="1"/>
        <v>6850</v>
      </c>
      <c r="M4" s="13"/>
    </row>
    <row r="5">
      <c r="A5" s="1" t="s">
        <v>25</v>
      </c>
      <c r="B5" s="2" t="s">
        <v>26</v>
      </c>
      <c r="C5" s="3" t="s">
        <v>27</v>
      </c>
      <c r="D5" s="14" t="s">
        <v>28</v>
      </c>
      <c r="E5" s="2" t="s">
        <v>29</v>
      </c>
      <c r="F5" s="4">
        <v>46.0</v>
      </c>
      <c r="G5" s="2">
        <v>4.0</v>
      </c>
      <c r="H5" s="5"/>
      <c r="I5" s="10"/>
      <c r="J5" s="10"/>
      <c r="K5" s="11"/>
      <c r="L5" s="12">
        <f t="shared" si="1"/>
        <v>0</v>
      </c>
      <c r="M5" s="13"/>
    </row>
    <row r="6">
      <c r="A6" s="1" t="s">
        <v>30</v>
      </c>
      <c r="B6" s="2" t="s">
        <v>31</v>
      </c>
      <c r="C6" s="3" t="s">
        <v>32</v>
      </c>
      <c r="D6" s="2">
        <v>9.992771732E9</v>
      </c>
      <c r="E6" s="2" t="s">
        <v>33</v>
      </c>
      <c r="F6" s="4">
        <v>51.0</v>
      </c>
      <c r="G6" s="2">
        <v>5.0</v>
      </c>
      <c r="H6" s="5"/>
      <c r="I6" s="10"/>
      <c r="J6" s="10"/>
      <c r="K6" s="11"/>
      <c r="L6" s="12">
        <f t="shared" si="1"/>
        <v>0</v>
      </c>
      <c r="M6" s="13"/>
    </row>
    <row r="7">
      <c r="A7" s="1" t="s">
        <v>34</v>
      </c>
      <c r="B7" s="2" t="s">
        <v>35</v>
      </c>
      <c r="C7" s="3" t="s">
        <v>36</v>
      </c>
      <c r="D7" s="2">
        <v>9.999810995E9</v>
      </c>
      <c r="E7" s="2" t="s">
        <v>37</v>
      </c>
      <c r="F7" s="4">
        <v>53.0</v>
      </c>
      <c r="G7" s="2">
        <v>6.0</v>
      </c>
      <c r="H7" s="5">
        <v>46044.0</v>
      </c>
      <c r="I7" s="10"/>
      <c r="J7" s="10">
        <v>6500.0</v>
      </c>
      <c r="K7" s="11">
        <v>350.0</v>
      </c>
      <c r="L7" s="12">
        <f t="shared" si="1"/>
        <v>6850</v>
      </c>
      <c r="M7" s="13"/>
    </row>
    <row r="8">
      <c r="A8" s="1" t="s">
        <v>38</v>
      </c>
      <c r="B8" s="2" t="s">
        <v>39</v>
      </c>
      <c r="C8" s="3" t="s">
        <v>40</v>
      </c>
      <c r="D8" s="2">
        <v>9.381200721E9</v>
      </c>
      <c r="E8" s="2" t="s">
        <v>41</v>
      </c>
      <c r="F8" s="4">
        <v>70.0</v>
      </c>
      <c r="G8" s="2">
        <v>7.0</v>
      </c>
      <c r="H8" s="5">
        <v>46051.0</v>
      </c>
      <c r="I8" s="10"/>
      <c r="J8" s="10">
        <v>6500.0</v>
      </c>
      <c r="K8" s="11">
        <v>350.0</v>
      </c>
      <c r="L8" s="12">
        <f t="shared" si="1"/>
        <v>6850</v>
      </c>
      <c r="M8" s="13"/>
    </row>
    <row r="9">
      <c r="A9" s="1" t="s">
        <v>42</v>
      </c>
      <c r="B9" s="2" t="s">
        <v>43</v>
      </c>
      <c r="C9" s="3" t="s">
        <v>44</v>
      </c>
      <c r="D9" s="2">
        <v>9.999258499E9</v>
      </c>
      <c r="E9" s="2" t="s">
        <v>45</v>
      </c>
      <c r="F9" s="4">
        <v>74.0</v>
      </c>
      <c r="G9" s="2">
        <v>8.0</v>
      </c>
      <c r="H9" s="5"/>
      <c r="I9" s="10"/>
      <c r="J9" s="10"/>
      <c r="K9" s="11"/>
      <c r="L9" s="12">
        <f t="shared" si="1"/>
        <v>0</v>
      </c>
      <c r="M9" s="13"/>
    </row>
    <row r="10">
      <c r="A10" s="1" t="s">
        <v>46</v>
      </c>
      <c r="B10" s="2" t="s">
        <v>47</v>
      </c>
      <c r="C10" s="3" t="s">
        <v>48</v>
      </c>
      <c r="D10" s="14" t="s">
        <v>49</v>
      </c>
      <c r="E10" s="2" t="s">
        <v>50</v>
      </c>
      <c r="F10" s="4">
        <v>87.0</v>
      </c>
      <c r="G10" s="2">
        <v>9.0</v>
      </c>
      <c r="H10" s="5"/>
      <c r="I10" s="10"/>
      <c r="J10" s="10"/>
      <c r="K10" s="11"/>
      <c r="L10" s="12">
        <f t="shared" si="1"/>
        <v>0</v>
      </c>
      <c r="M10" s="13"/>
    </row>
    <row r="11">
      <c r="A11" s="1" t="s">
        <v>51</v>
      </c>
      <c r="B11" s="2" t="s">
        <v>52</v>
      </c>
      <c r="C11" s="3" t="s">
        <v>53</v>
      </c>
      <c r="D11" s="2">
        <v>5.554388308E9</v>
      </c>
      <c r="E11" s="2" t="s">
        <v>54</v>
      </c>
      <c r="F11" s="4">
        <v>88.0</v>
      </c>
      <c r="G11" s="2">
        <v>10.0</v>
      </c>
      <c r="H11" s="5"/>
      <c r="I11" s="10"/>
      <c r="J11" s="10"/>
      <c r="K11" s="11"/>
      <c r="L11" s="12">
        <f t="shared" si="1"/>
        <v>0</v>
      </c>
      <c r="M11" s="13"/>
    </row>
    <row r="12">
      <c r="A12" s="1" t="s">
        <v>55</v>
      </c>
      <c r="B12" s="2" t="s">
        <v>56</v>
      </c>
      <c r="C12" s="3" t="s">
        <v>57</v>
      </c>
      <c r="D12" s="14" t="s">
        <v>58</v>
      </c>
      <c r="E12" s="2" t="s">
        <v>59</v>
      </c>
      <c r="F12" s="4">
        <v>97.0</v>
      </c>
      <c r="G12" s="2">
        <v>11.0</v>
      </c>
      <c r="H12" s="5"/>
      <c r="I12" s="10"/>
      <c r="J12" s="10"/>
      <c r="K12" s="11"/>
      <c r="L12" s="12">
        <f t="shared" si="1"/>
        <v>0</v>
      </c>
      <c r="M12" s="13"/>
    </row>
    <row r="13">
      <c r="A13" s="1" t="s">
        <v>60</v>
      </c>
      <c r="B13" s="2" t="s">
        <v>61</v>
      </c>
      <c r="C13" s="3" t="s">
        <v>62</v>
      </c>
      <c r="D13" s="2">
        <v>9.997720959E9</v>
      </c>
      <c r="E13" s="2" t="s">
        <v>63</v>
      </c>
      <c r="F13" s="4">
        <v>99.0</v>
      </c>
      <c r="G13" s="2">
        <v>12.0</v>
      </c>
      <c r="H13" s="5"/>
      <c r="I13" s="10"/>
      <c r="J13" s="10"/>
      <c r="K13" s="11"/>
      <c r="L13" s="12">
        <f t="shared" si="1"/>
        <v>0</v>
      </c>
      <c r="M13" s="13"/>
    </row>
    <row r="14">
      <c r="A14" s="1" t="s">
        <v>64</v>
      </c>
      <c r="B14" s="2" t="s">
        <v>65</v>
      </c>
      <c r="C14" s="3" t="s">
        <v>66</v>
      </c>
      <c r="D14" s="14" t="s">
        <v>67</v>
      </c>
      <c r="E14" s="2" t="s">
        <v>68</v>
      </c>
      <c r="F14" s="4">
        <v>102.0</v>
      </c>
      <c r="G14" s="2">
        <v>13.0</v>
      </c>
      <c r="H14" s="5">
        <v>46065.0</v>
      </c>
      <c r="I14" s="10"/>
      <c r="J14" s="10">
        <v>6500.0</v>
      </c>
      <c r="K14" s="11">
        <v>350.0</v>
      </c>
      <c r="L14" s="12">
        <f t="shared" si="1"/>
        <v>6850</v>
      </c>
      <c r="M14" s="13"/>
    </row>
    <row r="15">
      <c r="A15" s="1" t="s">
        <v>69</v>
      </c>
      <c r="B15" s="2" t="s">
        <v>70</v>
      </c>
      <c r="C15" s="3" t="s">
        <v>71</v>
      </c>
      <c r="D15" s="2">
        <v>9.993349575E9</v>
      </c>
      <c r="E15" s="2" t="s">
        <v>72</v>
      </c>
      <c r="F15" s="4">
        <v>103.0</v>
      </c>
      <c r="G15" s="2">
        <v>14.0</v>
      </c>
      <c r="H15" s="5">
        <v>46044.0</v>
      </c>
      <c r="I15" s="10"/>
      <c r="J15" s="10">
        <v>6500.0</v>
      </c>
      <c r="K15" s="11">
        <v>350.0</v>
      </c>
      <c r="L15" s="12">
        <f t="shared" si="1"/>
        <v>6850</v>
      </c>
      <c r="M15" s="13"/>
    </row>
    <row r="16">
      <c r="A16" s="1" t="s">
        <v>73</v>
      </c>
      <c r="B16" s="2" t="s">
        <v>74</v>
      </c>
      <c r="C16" s="3" t="s">
        <v>75</v>
      </c>
      <c r="D16" s="2">
        <v>9.99163786E9</v>
      </c>
      <c r="E16" s="2" t="s">
        <v>76</v>
      </c>
      <c r="F16" s="4">
        <v>107.0</v>
      </c>
      <c r="G16" s="2">
        <v>15.0</v>
      </c>
      <c r="H16" s="5">
        <v>46059.0</v>
      </c>
      <c r="I16" s="10"/>
      <c r="J16" s="10">
        <v>6500.0</v>
      </c>
      <c r="K16" s="11">
        <v>350.0</v>
      </c>
      <c r="L16" s="12">
        <f t="shared" si="1"/>
        <v>6850</v>
      </c>
      <c r="M16" s="13"/>
    </row>
    <row r="17">
      <c r="A17" s="1" t="s">
        <v>77</v>
      </c>
      <c r="B17" s="2" t="s">
        <v>78</v>
      </c>
      <c r="C17" s="3" t="s">
        <v>79</v>
      </c>
      <c r="D17" s="2">
        <v>9.999431556E9</v>
      </c>
      <c r="E17" s="2" t="s">
        <v>80</v>
      </c>
      <c r="F17" s="4">
        <v>113.0</v>
      </c>
      <c r="G17" s="2">
        <v>16.0</v>
      </c>
      <c r="H17" s="5"/>
      <c r="I17" s="10"/>
      <c r="J17" s="10"/>
      <c r="K17" s="11"/>
      <c r="L17" s="12">
        <f t="shared" si="1"/>
        <v>0</v>
      </c>
      <c r="M17" s="13"/>
    </row>
    <row r="18">
      <c r="A18" s="1" t="s">
        <v>81</v>
      </c>
      <c r="B18" s="2" t="s">
        <v>82</v>
      </c>
      <c r="C18" s="3" t="s">
        <v>83</v>
      </c>
      <c r="D18" s="14" t="s">
        <v>84</v>
      </c>
      <c r="E18" s="2" t="s">
        <v>85</v>
      </c>
      <c r="F18" s="4">
        <v>115.0</v>
      </c>
      <c r="G18" s="2">
        <v>17.0</v>
      </c>
      <c r="H18" s="5"/>
      <c r="I18" s="10"/>
      <c r="J18" s="10"/>
      <c r="K18" s="11"/>
      <c r="L18" s="12">
        <f t="shared" si="1"/>
        <v>0</v>
      </c>
      <c r="M18" s="13"/>
    </row>
    <row r="19">
      <c r="A19" s="1" t="s">
        <v>86</v>
      </c>
      <c r="B19" s="2" t="s">
        <v>87</v>
      </c>
      <c r="C19" s="3" t="s">
        <v>88</v>
      </c>
      <c r="D19" s="2">
        <v>9.961006288E9</v>
      </c>
      <c r="E19" s="2" t="s">
        <v>89</v>
      </c>
      <c r="F19" s="4">
        <v>123.0</v>
      </c>
      <c r="G19" s="2">
        <v>18.0</v>
      </c>
      <c r="H19" s="5"/>
      <c r="I19" s="10"/>
      <c r="J19" s="10"/>
      <c r="K19" s="11"/>
      <c r="L19" s="12">
        <f t="shared" si="1"/>
        <v>0</v>
      </c>
      <c r="M19" s="13"/>
    </row>
    <row r="20">
      <c r="A20" s="1" t="s">
        <v>90</v>
      </c>
      <c r="B20" s="2" t="s">
        <v>91</v>
      </c>
      <c r="C20" s="3" t="s">
        <v>92</v>
      </c>
      <c r="D20" s="2">
        <v>9.818296516E9</v>
      </c>
      <c r="E20" s="2" t="s">
        <v>93</v>
      </c>
      <c r="F20" s="4">
        <v>137.0</v>
      </c>
      <c r="G20" s="2">
        <v>19.0</v>
      </c>
      <c r="H20" s="5"/>
      <c r="I20" s="10"/>
      <c r="J20" s="10"/>
      <c r="K20" s="11"/>
      <c r="L20" s="12">
        <f t="shared" si="1"/>
        <v>0</v>
      </c>
      <c r="M20" s="13"/>
    </row>
    <row r="21">
      <c r="A21" s="1" t="s">
        <v>94</v>
      </c>
      <c r="B21" s="2" t="s">
        <v>95</v>
      </c>
      <c r="C21" s="3" t="s">
        <v>96</v>
      </c>
      <c r="D21" s="2">
        <v>9.999001272E9</v>
      </c>
      <c r="E21" s="2" t="s">
        <v>97</v>
      </c>
      <c r="F21" s="4">
        <v>142.0</v>
      </c>
      <c r="G21" s="2">
        <v>20.0</v>
      </c>
      <c r="H21" s="5"/>
      <c r="I21" s="10"/>
      <c r="J21" s="10"/>
      <c r="K21" s="11"/>
      <c r="L21" s="12">
        <f t="shared" si="1"/>
        <v>0</v>
      </c>
      <c r="M21" s="13"/>
    </row>
    <row r="22">
      <c r="A22" s="1" t="s">
        <v>98</v>
      </c>
      <c r="B22" s="2" t="s">
        <v>99</v>
      </c>
      <c r="C22" s="3" t="s">
        <v>100</v>
      </c>
      <c r="D22" s="2">
        <v>9.99200555E9</v>
      </c>
      <c r="E22" s="2" t="s">
        <v>101</v>
      </c>
      <c r="F22" s="4">
        <v>144.0</v>
      </c>
      <c r="G22" s="2">
        <v>21.0</v>
      </c>
      <c r="H22" s="5"/>
      <c r="I22" s="10"/>
      <c r="J22" s="10"/>
      <c r="K22" s="11"/>
      <c r="L22" s="12">
        <f t="shared" si="1"/>
        <v>0</v>
      </c>
      <c r="M22" s="13"/>
    </row>
    <row r="23">
      <c r="A23" s="1" t="s">
        <v>102</v>
      </c>
      <c r="B23" s="2" t="s">
        <v>103</v>
      </c>
      <c r="C23" s="3" t="s">
        <v>104</v>
      </c>
      <c r="D23" s="2">
        <v>9.999490494E9</v>
      </c>
      <c r="E23" s="2" t="s">
        <v>105</v>
      </c>
      <c r="F23" s="4">
        <v>147.0</v>
      </c>
      <c r="G23" s="2">
        <v>22.0</v>
      </c>
      <c r="H23" s="5"/>
      <c r="I23" s="10"/>
      <c r="J23" s="10"/>
      <c r="K23" s="11"/>
      <c r="L23" s="12">
        <f t="shared" si="1"/>
        <v>0</v>
      </c>
      <c r="M23" s="13"/>
    </row>
    <row r="24">
      <c r="A24" s="1" t="s">
        <v>106</v>
      </c>
      <c r="B24" s="2" t="s">
        <v>107</v>
      </c>
      <c r="C24" s="3" t="s">
        <v>108</v>
      </c>
      <c r="D24" s="2">
        <v>9.992429052E9</v>
      </c>
      <c r="E24" s="2" t="s">
        <v>109</v>
      </c>
      <c r="F24" s="4">
        <v>148.0</v>
      </c>
      <c r="G24" s="2">
        <v>23.0</v>
      </c>
      <c r="H24" s="5"/>
      <c r="I24" s="10"/>
      <c r="J24" s="10"/>
      <c r="K24" s="11"/>
      <c r="L24" s="12">
        <f t="shared" si="1"/>
        <v>0</v>
      </c>
      <c r="M24" s="13"/>
    </row>
    <row r="25">
      <c r="A25" s="1" t="s">
        <v>110</v>
      </c>
      <c r="B25" s="2" t="s">
        <v>111</v>
      </c>
      <c r="C25" s="3" t="s">
        <v>112</v>
      </c>
      <c r="D25" s="2">
        <v>9.999415052E9</v>
      </c>
      <c r="E25" s="2" t="s">
        <v>113</v>
      </c>
      <c r="F25" s="4">
        <v>149.0</v>
      </c>
      <c r="G25" s="2">
        <v>24.0</v>
      </c>
      <c r="H25" s="5"/>
      <c r="I25" s="10"/>
      <c r="J25" s="10"/>
      <c r="K25" s="11"/>
      <c r="L25" s="12">
        <f t="shared" si="1"/>
        <v>0</v>
      </c>
      <c r="M25" s="13"/>
    </row>
    <row r="26">
      <c r="A26" s="1" t="s">
        <v>114</v>
      </c>
      <c r="B26" s="2" t="s">
        <v>115</v>
      </c>
      <c r="C26" s="3" t="s">
        <v>116</v>
      </c>
      <c r="D26" s="2">
        <v>9.999494819E9</v>
      </c>
      <c r="E26" s="2" t="s">
        <v>117</v>
      </c>
      <c r="F26" s="4">
        <v>151.0</v>
      </c>
      <c r="G26" s="2">
        <v>25.0</v>
      </c>
      <c r="H26" s="5"/>
      <c r="I26" s="10"/>
      <c r="J26" s="10"/>
      <c r="K26" s="11"/>
      <c r="L26" s="12">
        <f t="shared" si="1"/>
        <v>0</v>
      </c>
      <c r="M26" s="13"/>
    </row>
    <row r="27">
      <c r="A27" s="1" t="s">
        <v>118</v>
      </c>
      <c r="B27" s="2" t="s">
        <v>119</v>
      </c>
      <c r="C27" s="3" t="s">
        <v>120</v>
      </c>
      <c r="D27" s="2">
        <v>9.992389961E9</v>
      </c>
      <c r="E27" s="2" t="s">
        <v>121</v>
      </c>
      <c r="F27" s="4">
        <v>153.0</v>
      </c>
      <c r="G27" s="2">
        <v>26.0</v>
      </c>
      <c r="H27" s="5"/>
      <c r="I27" s="10"/>
      <c r="J27" s="10"/>
      <c r="K27" s="11"/>
      <c r="L27" s="12">
        <f t="shared" si="1"/>
        <v>0</v>
      </c>
      <c r="M27" s="13"/>
    </row>
    <row r="28">
      <c r="A28" s="1" t="s">
        <v>122</v>
      </c>
      <c r="B28" s="2" t="s">
        <v>123</v>
      </c>
      <c r="C28" s="3" t="s">
        <v>124</v>
      </c>
      <c r="D28" s="2">
        <v>9.991335899E9</v>
      </c>
      <c r="E28" s="2" t="s">
        <v>125</v>
      </c>
      <c r="F28" s="4">
        <v>157.0</v>
      </c>
      <c r="G28" s="2">
        <v>27.0</v>
      </c>
      <c r="H28" s="5"/>
      <c r="I28" s="10"/>
      <c r="J28" s="10"/>
      <c r="K28" s="11"/>
      <c r="L28" s="12">
        <f t="shared" si="1"/>
        <v>0</v>
      </c>
      <c r="M28" s="13"/>
    </row>
    <row r="29">
      <c r="A29" s="1" t="s">
        <v>126</v>
      </c>
      <c r="B29" s="2" t="s">
        <v>127</v>
      </c>
      <c r="C29" s="3" t="s">
        <v>128</v>
      </c>
      <c r="D29" s="2">
        <v>9.991335899E9</v>
      </c>
      <c r="E29" s="2" t="s">
        <v>125</v>
      </c>
      <c r="F29" s="4">
        <v>161.0</v>
      </c>
      <c r="G29" s="2">
        <v>28.0</v>
      </c>
      <c r="H29" s="5"/>
      <c r="I29" s="10"/>
      <c r="J29" s="10"/>
      <c r="K29" s="11"/>
      <c r="L29" s="12">
        <f t="shared" si="1"/>
        <v>0</v>
      </c>
      <c r="M29" s="13"/>
    </row>
    <row r="30">
      <c r="A30" s="1" t="s">
        <v>129</v>
      </c>
      <c r="B30" s="2" t="s">
        <v>130</v>
      </c>
      <c r="C30" s="3" t="s">
        <v>131</v>
      </c>
      <c r="D30" s="2">
        <v>9.999477501E9</v>
      </c>
      <c r="E30" s="2" t="s">
        <v>132</v>
      </c>
      <c r="F30" s="4">
        <v>166.0</v>
      </c>
      <c r="G30" s="2">
        <v>29.0</v>
      </c>
      <c r="H30" s="5"/>
      <c r="I30" s="10"/>
      <c r="J30" s="10"/>
      <c r="K30" s="11"/>
      <c r="L30" s="12">
        <f t="shared" si="1"/>
        <v>0</v>
      </c>
      <c r="M30" s="13"/>
    </row>
    <row r="31">
      <c r="A31" s="1" t="s">
        <v>133</v>
      </c>
      <c r="B31" s="2" t="s">
        <v>134</v>
      </c>
      <c r="C31" s="3" t="s">
        <v>131</v>
      </c>
      <c r="D31" s="2">
        <v>9.999479199E9</v>
      </c>
      <c r="E31" s="2" t="s">
        <v>135</v>
      </c>
      <c r="F31" s="4">
        <v>167.0</v>
      </c>
      <c r="G31" s="2">
        <v>30.0</v>
      </c>
      <c r="H31" s="5"/>
      <c r="I31" s="10"/>
      <c r="J31" s="10"/>
      <c r="K31" s="11"/>
      <c r="L31" s="12">
        <f t="shared" si="1"/>
        <v>0</v>
      </c>
      <c r="M31" s="13"/>
    </row>
    <row r="32">
      <c r="A32" s="1" t="s">
        <v>136</v>
      </c>
      <c r="B32" s="2" t="s">
        <v>137</v>
      </c>
      <c r="C32" s="3" t="s">
        <v>138</v>
      </c>
      <c r="D32" s="2">
        <v>9.992243874E9</v>
      </c>
      <c r="E32" s="2" t="s">
        <v>139</v>
      </c>
      <c r="F32" s="4">
        <v>178.0</v>
      </c>
      <c r="G32" s="2">
        <v>31.0</v>
      </c>
      <c r="H32" s="5"/>
      <c r="I32" s="10"/>
      <c r="J32" s="10"/>
      <c r="K32" s="11"/>
      <c r="L32" s="12">
        <f t="shared" si="1"/>
        <v>0</v>
      </c>
      <c r="M32" s="13"/>
    </row>
    <row r="33">
      <c r="A33" s="1" t="s">
        <v>140</v>
      </c>
      <c r="B33" s="2" t="s">
        <v>141</v>
      </c>
      <c r="C33" s="3" t="s">
        <v>138</v>
      </c>
      <c r="D33" s="2">
        <v>9.992978103E9</v>
      </c>
      <c r="E33" s="2" t="s">
        <v>142</v>
      </c>
      <c r="F33" s="4">
        <v>179.0</v>
      </c>
      <c r="G33" s="2">
        <v>32.0</v>
      </c>
      <c r="H33" s="5"/>
      <c r="I33" s="10"/>
      <c r="J33" s="10"/>
      <c r="K33" s="11"/>
      <c r="L33" s="12">
        <f t="shared" si="1"/>
        <v>0</v>
      </c>
      <c r="M33" s="13"/>
    </row>
    <row r="34">
      <c r="A34" s="1" t="s">
        <v>143</v>
      </c>
      <c r="B34" s="2" t="s">
        <v>144</v>
      </c>
      <c r="C34" s="3" t="s">
        <v>145</v>
      </c>
      <c r="D34" s="2">
        <v>9.999477957E9</v>
      </c>
      <c r="E34" s="2" t="s">
        <v>146</v>
      </c>
      <c r="F34" s="4">
        <v>181.0</v>
      </c>
      <c r="G34" s="2">
        <v>33.0</v>
      </c>
      <c r="H34" s="5"/>
      <c r="I34" s="10"/>
      <c r="J34" s="10"/>
      <c r="K34" s="11"/>
      <c r="L34" s="12">
        <f t="shared" si="1"/>
        <v>0</v>
      </c>
      <c r="M34" s="13"/>
    </row>
    <row r="35">
      <c r="A35" s="1" t="s">
        <v>147</v>
      </c>
      <c r="B35" s="2" t="s">
        <v>148</v>
      </c>
      <c r="C35" s="3" t="s">
        <v>149</v>
      </c>
      <c r="D35" s="2">
        <v>9.991229424E9</v>
      </c>
      <c r="E35" s="2" t="s">
        <v>150</v>
      </c>
      <c r="F35" s="4">
        <v>182.0</v>
      </c>
      <c r="G35" s="2">
        <v>34.0</v>
      </c>
      <c r="H35" s="5"/>
      <c r="I35" s="10"/>
      <c r="J35" s="10"/>
      <c r="K35" s="11"/>
      <c r="L35" s="12">
        <f t="shared" si="1"/>
        <v>0</v>
      </c>
      <c r="M35" s="13"/>
    </row>
    <row r="36">
      <c r="A36" s="1" t="s">
        <v>151</v>
      </c>
      <c r="B36" s="2" t="s">
        <v>152</v>
      </c>
      <c r="C36" s="3" t="s">
        <v>153</v>
      </c>
      <c r="D36" s="2">
        <v>9.99240311E9</v>
      </c>
      <c r="E36" s="2" t="s">
        <v>154</v>
      </c>
      <c r="F36" s="4">
        <v>183.0</v>
      </c>
      <c r="G36" s="2">
        <v>35.0</v>
      </c>
      <c r="H36" s="5"/>
      <c r="I36" s="10"/>
      <c r="J36" s="10"/>
      <c r="K36" s="11"/>
      <c r="L36" s="12">
        <f t="shared" si="1"/>
        <v>0</v>
      </c>
      <c r="M36" s="13"/>
    </row>
    <row r="37" hidden="1">
      <c r="A37" s="1" t="s">
        <v>155</v>
      </c>
      <c r="B37" s="2" t="s">
        <v>156</v>
      </c>
      <c r="C37" s="3" t="s">
        <v>157</v>
      </c>
      <c r="D37" s="2">
        <v>9.995759542E9</v>
      </c>
      <c r="E37" s="2" t="s">
        <v>158</v>
      </c>
      <c r="F37" s="4">
        <v>225.0</v>
      </c>
      <c r="G37" s="2">
        <v>66.0</v>
      </c>
      <c r="H37" s="5">
        <v>46022.0</v>
      </c>
      <c r="I37" s="10"/>
      <c r="J37" s="10">
        <v>6000.0</v>
      </c>
      <c r="K37" s="11">
        <v>350.0</v>
      </c>
      <c r="L37" s="12">
        <f t="shared" si="1"/>
        <v>6350</v>
      </c>
      <c r="M37" s="13"/>
    </row>
    <row r="38">
      <c r="A38" s="1" t="s">
        <v>159</v>
      </c>
      <c r="B38" s="2"/>
      <c r="C38" s="3"/>
      <c r="D38" s="2" t="s">
        <v>160</v>
      </c>
      <c r="E38" s="2" t="s">
        <v>161</v>
      </c>
      <c r="F38" s="4" t="s">
        <v>162</v>
      </c>
      <c r="G38" s="2">
        <v>77.0</v>
      </c>
      <c r="H38" s="5">
        <v>46030.0</v>
      </c>
      <c r="I38" s="10">
        <v>2000.0</v>
      </c>
      <c r="J38" s="10">
        <v>6000.0</v>
      </c>
      <c r="K38" s="11">
        <v>700.0</v>
      </c>
      <c r="L38" s="12">
        <f t="shared" si="1"/>
        <v>8700</v>
      </c>
      <c r="M38" s="13"/>
    </row>
    <row r="39">
      <c r="A39" s="1" t="s">
        <v>163</v>
      </c>
      <c r="B39" s="2" t="s">
        <v>164</v>
      </c>
      <c r="C39" s="3" t="s">
        <v>165</v>
      </c>
      <c r="D39" s="2">
        <v>9.991375427E9</v>
      </c>
      <c r="E39" s="2" t="s">
        <v>166</v>
      </c>
      <c r="F39" s="4">
        <v>192.0</v>
      </c>
      <c r="G39" s="2">
        <v>38.0</v>
      </c>
      <c r="H39" s="5">
        <v>46042.0</v>
      </c>
      <c r="I39" s="10"/>
      <c r="J39" s="10">
        <v>6500.0</v>
      </c>
      <c r="K39" s="11">
        <v>350.0</v>
      </c>
      <c r="L39" s="12">
        <f t="shared" si="1"/>
        <v>6850</v>
      </c>
      <c r="M39" s="13"/>
    </row>
    <row r="40">
      <c r="A40" s="1" t="s">
        <v>167</v>
      </c>
      <c r="B40" s="2" t="s">
        <v>168</v>
      </c>
      <c r="C40" s="3" t="s">
        <v>169</v>
      </c>
      <c r="D40" s="2">
        <v>9.993356071E9</v>
      </c>
      <c r="E40" s="2" t="s">
        <v>170</v>
      </c>
      <c r="F40" s="4">
        <v>193.0</v>
      </c>
      <c r="G40" s="2">
        <v>39.0</v>
      </c>
      <c r="H40" s="5"/>
      <c r="I40" s="10"/>
      <c r="J40" s="10"/>
      <c r="K40" s="11"/>
      <c r="L40" s="12">
        <f t="shared" si="1"/>
        <v>0</v>
      </c>
      <c r="M40" s="13"/>
    </row>
    <row r="41">
      <c r="A41" s="1" t="s">
        <v>171</v>
      </c>
      <c r="B41" s="2" t="s">
        <v>172</v>
      </c>
      <c r="C41" s="3" t="s">
        <v>173</v>
      </c>
      <c r="D41" s="2">
        <v>9.991369874E9</v>
      </c>
      <c r="E41" s="2" t="s">
        <v>174</v>
      </c>
      <c r="F41" s="4">
        <v>194.0</v>
      </c>
      <c r="G41" s="2">
        <v>40.0</v>
      </c>
      <c r="H41" s="5"/>
      <c r="I41" s="10"/>
      <c r="J41" s="10"/>
      <c r="K41" s="11"/>
      <c r="L41" s="12">
        <f t="shared" si="1"/>
        <v>0</v>
      </c>
      <c r="M41" s="13"/>
    </row>
    <row r="42">
      <c r="A42" s="1" t="s">
        <v>175</v>
      </c>
      <c r="B42" s="2" t="s">
        <v>176</v>
      </c>
      <c r="C42" s="3" t="s">
        <v>177</v>
      </c>
      <c r="D42" s="2">
        <v>5.520985073E9</v>
      </c>
      <c r="E42" s="2" t="s">
        <v>178</v>
      </c>
      <c r="F42" s="4">
        <v>195.0</v>
      </c>
      <c r="G42" s="2">
        <v>41.0</v>
      </c>
      <c r="H42" s="5"/>
      <c r="I42" s="10"/>
      <c r="J42" s="10"/>
      <c r="K42" s="11"/>
      <c r="L42" s="12">
        <f t="shared" si="1"/>
        <v>0</v>
      </c>
      <c r="M42" s="13"/>
    </row>
    <row r="43">
      <c r="A43" s="1" t="s">
        <v>179</v>
      </c>
      <c r="B43" s="2" t="s">
        <v>180</v>
      </c>
      <c r="C43" s="3" t="s">
        <v>181</v>
      </c>
      <c r="D43" s="2">
        <v>9.994992099E9</v>
      </c>
      <c r="E43" s="2" t="s">
        <v>182</v>
      </c>
      <c r="F43" s="4">
        <v>196.0</v>
      </c>
      <c r="G43" s="2">
        <v>42.0</v>
      </c>
      <c r="H43" s="5"/>
      <c r="I43" s="10"/>
      <c r="J43" s="10"/>
      <c r="K43" s="11"/>
      <c r="L43" s="12">
        <f t="shared" si="1"/>
        <v>0</v>
      </c>
      <c r="M43" s="13"/>
    </row>
    <row r="44">
      <c r="A44" s="1" t="s">
        <v>183</v>
      </c>
      <c r="B44" s="2" t="s">
        <v>184</v>
      </c>
      <c r="C44" s="3" t="s">
        <v>185</v>
      </c>
      <c r="D44" s="2">
        <v>5.530565722E9</v>
      </c>
      <c r="E44" s="2" t="s">
        <v>186</v>
      </c>
      <c r="F44" s="4">
        <v>199.0</v>
      </c>
      <c r="G44" s="2">
        <v>43.0</v>
      </c>
      <c r="H44" s="5"/>
      <c r="I44" s="10"/>
      <c r="J44" s="10"/>
      <c r="K44" s="11"/>
      <c r="L44" s="12">
        <f t="shared" si="1"/>
        <v>0</v>
      </c>
      <c r="M44" s="13"/>
    </row>
    <row r="45">
      <c r="A45" s="1" t="s">
        <v>187</v>
      </c>
      <c r="B45" s="2" t="s">
        <v>188</v>
      </c>
      <c r="C45" s="3" t="s">
        <v>189</v>
      </c>
      <c r="D45" s="2">
        <v>9.97124894E9</v>
      </c>
      <c r="E45" s="2" t="s">
        <v>190</v>
      </c>
      <c r="F45" s="4">
        <v>200.0</v>
      </c>
      <c r="G45" s="2">
        <v>44.0</v>
      </c>
      <c r="H45" s="5"/>
      <c r="I45" s="10"/>
      <c r="J45" s="10"/>
      <c r="K45" s="11"/>
      <c r="L45" s="12">
        <f t="shared" si="1"/>
        <v>0</v>
      </c>
      <c r="M45" s="13"/>
    </row>
    <row r="46">
      <c r="A46" s="1" t="s">
        <v>191</v>
      </c>
      <c r="B46" s="2" t="s">
        <v>192</v>
      </c>
      <c r="C46" s="3" t="s">
        <v>193</v>
      </c>
      <c r="D46" s="2">
        <v>9.992247551E9</v>
      </c>
      <c r="E46" s="2" t="s">
        <v>194</v>
      </c>
      <c r="F46" s="4">
        <v>201.0</v>
      </c>
      <c r="G46" s="2">
        <v>45.0</v>
      </c>
      <c r="H46" s="5"/>
      <c r="I46" s="10"/>
      <c r="J46" s="10"/>
      <c r="K46" s="11"/>
      <c r="L46" s="12">
        <f t="shared" si="1"/>
        <v>0</v>
      </c>
      <c r="M46" s="13"/>
    </row>
    <row r="47">
      <c r="A47" s="1" t="s">
        <v>195</v>
      </c>
      <c r="B47" s="2" t="s">
        <v>196</v>
      </c>
      <c r="C47" s="3" t="s">
        <v>197</v>
      </c>
      <c r="D47" s="2">
        <v>9.991356502E9</v>
      </c>
      <c r="E47" s="2" t="s">
        <v>198</v>
      </c>
      <c r="F47" s="4">
        <v>202.0</v>
      </c>
      <c r="G47" s="2">
        <v>46.0</v>
      </c>
      <c r="H47" s="5"/>
      <c r="I47" s="10"/>
      <c r="J47" s="10"/>
      <c r="K47" s="11"/>
      <c r="L47" s="12">
        <f t="shared" si="1"/>
        <v>0</v>
      </c>
      <c r="M47" s="13"/>
    </row>
    <row r="48">
      <c r="A48" s="1" t="s">
        <v>199</v>
      </c>
      <c r="B48" s="2" t="s">
        <v>200</v>
      </c>
      <c r="C48" s="3" t="s">
        <v>201</v>
      </c>
      <c r="D48" s="2">
        <v>9.991518266E9</v>
      </c>
      <c r="E48" s="2" t="s">
        <v>202</v>
      </c>
      <c r="F48" s="4">
        <v>203.0</v>
      </c>
      <c r="G48" s="2">
        <v>47.0</v>
      </c>
      <c r="H48" s="5">
        <v>46048.0</v>
      </c>
      <c r="I48" s="10"/>
      <c r="J48" s="10">
        <v>6500.0</v>
      </c>
      <c r="K48" s="11">
        <v>350.0</v>
      </c>
      <c r="L48" s="12">
        <f t="shared" si="1"/>
        <v>6850</v>
      </c>
      <c r="M48" s="13"/>
    </row>
    <row r="49">
      <c r="A49" s="1" t="s">
        <v>203</v>
      </c>
      <c r="B49" s="2" t="s">
        <v>204</v>
      </c>
      <c r="C49" s="3" t="s">
        <v>205</v>
      </c>
      <c r="D49" s="2">
        <v>9.991276042E9</v>
      </c>
      <c r="E49" s="2" t="s">
        <v>206</v>
      </c>
      <c r="F49" s="4">
        <v>188.0</v>
      </c>
      <c r="G49" s="2">
        <v>37.0</v>
      </c>
      <c r="H49" s="5">
        <v>46035.0</v>
      </c>
      <c r="I49" s="10"/>
      <c r="J49" s="10">
        <v>6000.0</v>
      </c>
      <c r="K49" s="11"/>
      <c r="L49" s="12">
        <f t="shared" si="1"/>
        <v>6000</v>
      </c>
      <c r="M49" s="13"/>
    </row>
    <row r="50">
      <c r="A50" s="1" t="s">
        <v>207</v>
      </c>
      <c r="B50" s="2" t="s">
        <v>208</v>
      </c>
      <c r="C50" s="3" t="s">
        <v>209</v>
      </c>
      <c r="D50" s="2">
        <v>9.901011913E9</v>
      </c>
      <c r="E50" s="2" t="s">
        <v>210</v>
      </c>
      <c r="F50" s="4">
        <v>205.0</v>
      </c>
      <c r="G50" s="2">
        <v>49.0</v>
      </c>
      <c r="H50" s="5"/>
      <c r="I50" s="10"/>
      <c r="J50" s="10"/>
      <c r="K50" s="11"/>
      <c r="L50" s="12">
        <f t="shared" si="1"/>
        <v>0</v>
      </c>
      <c r="M50" s="13"/>
    </row>
    <row r="51">
      <c r="A51" s="1" t="s">
        <v>211</v>
      </c>
      <c r="B51" s="2" t="s">
        <v>212</v>
      </c>
      <c r="C51" s="3" t="s">
        <v>213</v>
      </c>
      <c r="D51" s="2">
        <v>9.991450399E9</v>
      </c>
      <c r="E51" s="2" t="s">
        <v>214</v>
      </c>
      <c r="F51" s="4">
        <v>206.0</v>
      </c>
      <c r="G51" s="2">
        <v>50.0</v>
      </c>
      <c r="H51" s="5"/>
      <c r="I51" s="10"/>
      <c r="J51" s="10"/>
      <c r="K51" s="11"/>
      <c r="L51" s="12">
        <f t="shared" si="1"/>
        <v>0</v>
      </c>
      <c r="M51" s="13"/>
    </row>
    <row r="52">
      <c r="A52" s="1" t="s">
        <v>215</v>
      </c>
      <c r="B52" s="2" t="s">
        <v>216</v>
      </c>
      <c r="C52" s="3" t="s">
        <v>217</v>
      </c>
      <c r="D52" s="2">
        <v>5.543900616E9</v>
      </c>
      <c r="E52" s="2" t="s">
        <v>218</v>
      </c>
      <c r="F52" s="4">
        <v>209.0</v>
      </c>
      <c r="G52" s="2">
        <v>51.0</v>
      </c>
      <c r="H52" s="5"/>
      <c r="I52" s="10"/>
      <c r="J52" s="10"/>
      <c r="K52" s="11"/>
      <c r="L52" s="12">
        <f t="shared" si="1"/>
        <v>0</v>
      </c>
      <c r="M52" s="13"/>
    </row>
    <row r="53">
      <c r="A53" s="1" t="s">
        <v>219</v>
      </c>
      <c r="B53" s="2" t="s">
        <v>220</v>
      </c>
      <c r="C53" s="3" t="s">
        <v>221</v>
      </c>
      <c r="D53" s="2">
        <v>9.993359825E9</v>
      </c>
      <c r="E53" s="2" t="s">
        <v>222</v>
      </c>
      <c r="F53" s="4">
        <v>210.0</v>
      </c>
      <c r="G53" s="2">
        <v>52.0</v>
      </c>
      <c r="H53" s="5"/>
      <c r="I53" s="10"/>
      <c r="J53" s="10"/>
      <c r="K53" s="11"/>
      <c r="L53" s="12">
        <f t="shared" si="1"/>
        <v>0</v>
      </c>
      <c r="M53" s="13"/>
    </row>
    <row r="54">
      <c r="A54" s="1" t="s">
        <v>223</v>
      </c>
      <c r="B54" s="2" t="s">
        <v>224</v>
      </c>
      <c r="C54" s="3" t="s">
        <v>225</v>
      </c>
      <c r="D54" s="2">
        <v>9.99532857E9</v>
      </c>
      <c r="E54" s="2" t="s">
        <v>226</v>
      </c>
      <c r="F54" s="4">
        <v>211.0</v>
      </c>
      <c r="G54" s="2">
        <v>53.0</v>
      </c>
      <c r="H54" s="5"/>
      <c r="I54" s="10"/>
      <c r="J54" s="10"/>
      <c r="K54" s="11"/>
      <c r="L54" s="12">
        <f t="shared" si="1"/>
        <v>0</v>
      </c>
      <c r="M54" s="13"/>
    </row>
    <row r="55">
      <c r="A55" s="1" t="s">
        <v>227</v>
      </c>
      <c r="B55" s="2" t="s">
        <v>228</v>
      </c>
      <c r="C55" s="3" t="s">
        <v>229</v>
      </c>
      <c r="D55" s="2">
        <v>5.530565722E9</v>
      </c>
      <c r="E55" s="2" t="s">
        <v>230</v>
      </c>
      <c r="F55" s="4">
        <v>212.0</v>
      </c>
      <c r="G55" s="2">
        <v>54.0</v>
      </c>
      <c r="H55" s="5"/>
      <c r="I55" s="10"/>
      <c r="J55" s="10"/>
      <c r="K55" s="11"/>
      <c r="L55" s="12">
        <f t="shared" si="1"/>
        <v>0</v>
      </c>
      <c r="M55" s="13"/>
    </row>
    <row r="56">
      <c r="A56" s="1" t="s">
        <v>231</v>
      </c>
      <c r="B56" s="2" t="s">
        <v>232</v>
      </c>
      <c r="C56" s="3" t="s">
        <v>233</v>
      </c>
      <c r="D56" s="2">
        <v>9.811204947E9</v>
      </c>
      <c r="E56" s="2" t="s">
        <v>234</v>
      </c>
      <c r="F56" s="4">
        <v>214.0</v>
      </c>
      <c r="G56" s="2">
        <v>55.0</v>
      </c>
      <c r="H56" s="5"/>
      <c r="I56" s="10"/>
      <c r="J56" s="10"/>
      <c r="K56" s="11"/>
      <c r="L56" s="12">
        <f t="shared" si="1"/>
        <v>0</v>
      </c>
      <c r="M56" s="13"/>
    </row>
    <row r="57">
      <c r="A57" s="1" t="s">
        <v>235</v>
      </c>
      <c r="B57" s="2" t="s">
        <v>236</v>
      </c>
      <c r="C57" s="3" t="s">
        <v>237</v>
      </c>
      <c r="D57" s="2">
        <v>9.99231504E9</v>
      </c>
      <c r="E57" s="2" t="s">
        <v>238</v>
      </c>
      <c r="F57" s="4">
        <v>222.0</v>
      </c>
      <c r="G57" s="2">
        <v>63.0</v>
      </c>
      <c r="H57" s="5">
        <v>46037.0</v>
      </c>
      <c r="I57" s="10"/>
      <c r="J57" s="10">
        <v>6000.0</v>
      </c>
      <c r="K57" s="11">
        <v>350.0</v>
      </c>
      <c r="L57" s="12">
        <f t="shared" si="1"/>
        <v>6350</v>
      </c>
      <c r="M57" s="13"/>
    </row>
    <row r="58">
      <c r="A58" s="1" t="s">
        <v>239</v>
      </c>
      <c r="B58" s="2" t="s">
        <v>240</v>
      </c>
      <c r="C58" s="3" t="s">
        <v>241</v>
      </c>
      <c r="D58" s="2">
        <v>9.831549084E9</v>
      </c>
      <c r="E58" s="2" t="s">
        <v>242</v>
      </c>
      <c r="F58" s="4">
        <v>216.0</v>
      </c>
      <c r="G58" s="2">
        <v>57.0</v>
      </c>
      <c r="H58" s="5"/>
      <c r="I58" s="10"/>
      <c r="J58" s="10"/>
      <c r="K58" s="11"/>
      <c r="L58" s="12">
        <f t="shared" si="1"/>
        <v>0</v>
      </c>
      <c r="M58" s="13"/>
    </row>
    <row r="59">
      <c r="A59" s="1" t="s">
        <v>243</v>
      </c>
      <c r="B59" s="2" t="s">
        <v>244</v>
      </c>
      <c r="C59" s="3" t="s">
        <v>245</v>
      </c>
      <c r="D59" s="2">
        <v>9.999967145E9</v>
      </c>
      <c r="E59" s="2" t="s">
        <v>246</v>
      </c>
      <c r="F59" s="4">
        <v>217.0</v>
      </c>
      <c r="G59" s="2">
        <v>58.0</v>
      </c>
      <c r="H59" s="5">
        <v>46048.0</v>
      </c>
      <c r="I59" s="10"/>
      <c r="J59" s="10">
        <v>6500.0</v>
      </c>
      <c r="K59" s="11">
        <v>350.0</v>
      </c>
      <c r="L59" s="12">
        <f t="shared" si="1"/>
        <v>6850</v>
      </c>
      <c r="M59" s="13"/>
    </row>
    <row r="60">
      <c r="A60" s="1" t="s">
        <v>247</v>
      </c>
      <c r="B60" s="2" t="s">
        <v>248</v>
      </c>
      <c r="C60" s="3" t="s">
        <v>249</v>
      </c>
      <c r="D60" s="2">
        <v>5.54342616E9</v>
      </c>
      <c r="E60" s="2" t="s">
        <v>250</v>
      </c>
      <c r="F60" s="4">
        <v>218.0</v>
      </c>
      <c r="G60" s="2">
        <v>59.0</v>
      </c>
      <c r="H60" s="5"/>
      <c r="I60" s="10"/>
      <c r="J60" s="10"/>
      <c r="K60" s="11"/>
      <c r="L60" s="12">
        <f t="shared" si="1"/>
        <v>0</v>
      </c>
      <c r="M60" s="13"/>
    </row>
    <row r="61">
      <c r="A61" s="1" t="s">
        <v>251</v>
      </c>
      <c r="B61" s="2" t="s">
        <v>252</v>
      </c>
      <c r="C61" s="3" t="s">
        <v>253</v>
      </c>
      <c r="D61" s="2">
        <v>4.431302953E9</v>
      </c>
      <c r="E61" s="2" t="s">
        <v>254</v>
      </c>
      <c r="F61" s="4">
        <v>219.0</v>
      </c>
      <c r="G61" s="2">
        <v>60.0</v>
      </c>
      <c r="H61" s="5">
        <v>46059.0</v>
      </c>
      <c r="I61" s="10"/>
      <c r="J61" s="10">
        <v>6500.0</v>
      </c>
      <c r="K61" s="11">
        <v>350.0</v>
      </c>
      <c r="L61" s="12">
        <f t="shared" si="1"/>
        <v>6850</v>
      </c>
      <c r="M61" s="13"/>
    </row>
    <row r="62">
      <c r="A62" s="1" t="s">
        <v>255</v>
      </c>
      <c r="B62" s="2" t="s">
        <v>256</v>
      </c>
      <c r="C62" s="3" t="s">
        <v>257</v>
      </c>
      <c r="D62" s="2">
        <v>9.99335427E9</v>
      </c>
      <c r="E62" s="2" t="s">
        <v>258</v>
      </c>
      <c r="F62" s="4">
        <v>220.0</v>
      </c>
      <c r="G62" s="2">
        <v>61.0</v>
      </c>
      <c r="H62" s="5"/>
      <c r="I62" s="10"/>
      <c r="J62" s="10"/>
      <c r="K62" s="11"/>
      <c r="L62" s="12">
        <f t="shared" si="1"/>
        <v>0</v>
      </c>
      <c r="M62" s="13"/>
    </row>
    <row r="63">
      <c r="A63" s="1" t="s">
        <v>259</v>
      </c>
      <c r="B63" s="2" t="s">
        <v>260</v>
      </c>
      <c r="C63" s="3" t="s">
        <v>261</v>
      </c>
      <c r="D63" s="2">
        <v>9.381526811E9</v>
      </c>
      <c r="E63" s="2" t="s">
        <v>262</v>
      </c>
      <c r="F63" s="4">
        <v>221.0</v>
      </c>
      <c r="G63" s="2">
        <v>62.0</v>
      </c>
      <c r="H63" s="5"/>
      <c r="I63" s="10"/>
      <c r="J63" s="10"/>
      <c r="K63" s="11"/>
      <c r="L63" s="12">
        <f t="shared" si="1"/>
        <v>0</v>
      </c>
      <c r="M63" s="13"/>
    </row>
    <row r="64">
      <c r="A64" s="1" t="s">
        <v>263</v>
      </c>
      <c r="B64" s="2" t="s">
        <v>264</v>
      </c>
      <c r="C64" s="3" t="s">
        <v>265</v>
      </c>
      <c r="D64" s="2">
        <v>9.993940909E9</v>
      </c>
      <c r="E64" s="2" t="s">
        <v>266</v>
      </c>
      <c r="F64" s="4">
        <v>215.0</v>
      </c>
      <c r="G64" s="2">
        <v>56.0</v>
      </c>
      <c r="H64" s="5">
        <v>46038.0</v>
      </c>
      <c r="I64" s="10"/>
      <c r="J64" s="10">
        <v>6000.0</v>
      </c>
      <c r="K64" s="11">
        <v>350.0</v>
      </c>
      <c r="L64" s="12">
        <f t="shared" si="1"/>
        <v>6350</v>
      </c>
      <c r="M64" s="13"/>
    </row>
    <row r="65">
      <c r="A65" s="1" t="s">
        <v>267</v>
      </c>
      <c r="B65" s="2" t="s">
        <v>268</v>
      </c>
      <c r="C65" s="3" t="s">
        <v>269</v>
      </c>
      <c r="D65" s="2">
        <v>9.993778311E9</v>
      </c>
      <c r="E65" s="2" t="s">
        <v>270</v>
      </c>
      <c r="F65" s="4">
        <v>223.0</v>
      </c>
      <c r="G65" s="2">
        <v>64.0</v>
      </c>
      <c r="H65" s="5"/>
      <c r="I65" s="10"/>
      <c r="J65" s="10"/>
      <c r="K65" s="11"/>
      <c r="L65" s="12">
        <f t="shared" si="1"/>
        <v>0</v>
      </c>
      <c r="M65" s="13"/>
    </row>
    <row r="66">
      <c r="A66" s="1" t="s">
        <v>271</v>
      </c>
      <c r="B66" s="2" t="s">
        <v>272</v>
      </c>
      <c r="C66" s="3" t="s">
        <v>273</v>
      </c>
      <c r="D66" s="2" t="s">
        <v>274</v>
      </c>
      <c r="E66" s="2" t="s">
        <v>275</v>
      </c>
      <c r="F66" s="4">
        <v>224.0</v>
      </c>
      <c r="G66" s="2">
        <v>65.0</v>
      </c>
      <c r="H66" s="5">
        <v>46055.0</v>
      </c>
      <c r="I66" s="10"/>
      <c r="J66" s="10">
        <v>6500.0</v>
      </c>
      <c r="K66" s="11"/>
      <c r="L66" s="12">
        <f t="shared" si="1"/>
        <v>6500</v>
      </c>
      <c r="M66" s="13"/>
    </row>
    <row r="67">
      <c r="A67" s="1" t="s">
        <v>276</v>
      </c>
      <c r="B67" s="2" t="s">
        <v>277</v>
      </c>
      <c r="C67" s="3" t="s">
        <v>278</v>
      </c>
      <c r="D67" s="2">
        <v>5.520869685E9</v>
      </c>
      <c r="E67" s="2" t="s">
        <v>279</v>
      </c>
      <c r="F67" s="4">
        <v>186.0</v>
      </c>
      <c r="G67" s="2">
        <v>36.0</v>
      </c>
      <c r="H67" s="5">
        <v>46040.0</v>
      </c>
      <c r="I67" s="10"/>
      <c r="J67" s="10">
        <v>6000.0</v>
      </c>
      <c r="K67" s="11">
        <v>350.0</v>
      </c>
      <c r="L67" s="12">
        <f t="shared" si="1"/>
        <v>6350</v>
      </c>
      <c r="M67" s="13"/>
    </row>
    <row r="68">
      <c r="A68" s="1" t="s">
        <v>280</v>
      </c>
      <c r="B68" s="2" t="s">
        <v>281</v>
      </c>
      <c r="C68" s="3" t="s">
        <v>282</v>
      </c>
      <c r="D68" s="2">
        <v>9.994912883E9</v>
      </c>
      <c r="E68" s="2" t="s">
        <v>283</v>
      </c>
      <c r="F68" s="4">
        <v>226.0</v>
      </c>
      <c r="G68" s="2">
        <v>67.0</v>
      </c>
      <c r="H68" s="5">
        <v>46048.0</v>
      </c>
      <c r="I68" s="10"/>
      <c r="J68" s="10">
        <v>6500.0</v>
      </c>
      <c r="K68" s="11">
        <v>350.0</v>
      </c>
      <c r="L68" s="12">
        <f t="shared" si="1"/>
        <v>6850</v>
      </c>
      <c r="M68" s="13"/>
    </row>
    <row r="69">
      <c r="A69" s="1" t="s">
        <v>284</v>
      </c>
      <c r="B69" s="2" t="s">
        <v>285</v>
      </c>
      <c r="C69" s="3" t="s">
        <v>286</v>
      </c>
      <c r="D69" s="14" t="s">
        <v>287</v>
      </c>
      <c r="E69" s="2" t="s">
        <v>288</v>
      </c>
      <c r="F69" s="4">
        <v>227.0</v>
      </c>
      <c r="G69" s="2">
        <v>68.0</v>
      </c>
      <c r="H69" s="5"/>
      <c r="I69" s="10"/>
      <c r="J69" s="10"/>
      <c r="K69" s="11"/>
      <c r="L69" s="12">
        <f t="shared" si="1"/>
        <v>0</v>
      </c>
      <c r="M69" s="13"/>
    </row>
    <row r="70">
      <c r="A70" s="1" t="s">
        <v>289</v>
      </c>
      <c r="B70" s="2" t="s">
        <v>290</v>
      </c>
      <c r="C70" s="3" t="s">
        <v>291</v>
      </c>
      <c r="D70" s="2">
        <v>9.993772793E9</v>
      </c>
      <c r="E70" s="2" t="s">
        <v>292</v>
      </c>
      <c r="F70" s="4">
        <v>228.0</v>
      </c>
      <c r="G70" s="2">
        <v>69.0</v>
      </c>
      <c r="H70" s="5">
        <v>46053.0</v>
      </c>
      <c r="I70" s="10"/>
      <c r="J70" s="10">
        <v>6500.0</v>
      </c>
      <c r="K70" s="11">
        <v>350.0</v>
      </c>
      <c r="L70" s="12">
        <f t="shared" si="1"/>
        <v>6850</v>
      </c>
      <c r="M70" s="13"/>
    </row>
    <row r="71">
      <c r="A71" s="1" t="s">
        <v>293</v>
      </c>
      <c r="B71" s="2" t="s">
        <v>294</v>
      </c>
      <c r="C71" s="3" t="s">
        <v>295</v>
      </c>
      <c r="D71" s="2">
        <v>9.991650849E9</v>
      </c>
      <c r="E71" s="2" t="s">
        <v>296</v>
      </c>
      <c r="F71" s="4">
        <v>229.0</v>
      </c>
      <c r="G71" s="2">
        <v>70.0</v>
      </c>
      <c r="H71" s="5">
        <v>46040.0</v>
      </c>
      <c r="I71" s="10"/>
      <c r="J71" s="10">
        <v>6000.0</v>
      </c>
      <c r="K71" s="11">
        <v>350.0</v>
      </c>
      <c r="L71" s="12">
        <f t="shared" si="1"/>
        <v>6350</v>
      </c>
      <c r="M71" s="13"/>
    </row>
    <row r="72">
      <c r="A72" s="1" t="s">
        <v>297</v>
      </c>
      <c r="B72" s="2" t="s">
        <v>298</v>
      </c>
      <c r="C72" s="3" t="s">
        <v>299</v>
      </c>
      <c r="D72" s="2">
        <v>9.993437376E9</v>
      </c>
      <c r="E72" s="2" t="s">
        <v>300</v>
      </c>
      <c r="F72" s="4">
        <v>230.0</v>
      </c>
      <c r="G72" s="2">
        <v>71.0</v>
      </c>
      <c r="H72" s="5">
        <v>46040.0</v>
      </c>
      <c r="I72" s="10"/>
      <c r="J72" s="10">
        <v>6000.0</v>
      </c>
      <c r="K72" s="11">
        <v>350.0</v>
      </c>
      <c r="L72" s="12">
        <f t="shared" si="1"/>
        <v>6350</v>
      </c>
      <c r="M72" s="13"/>
    </row>
    <row r="73">
      <c r="A73" s="1" t="s">
        <v>301</v>
      </c>
      <c r="B73" s="2" t="s">
        <v>302</v>
      </c>
      <c r="C73" s="3" t="s">
        <v>303</v>
      </c>
      <c r="D73" s="2">
        <v>9.993382222E9</v>
      </c>
      <c r="E73" s="2" t="s">
        <v>304</v>
      </c>
      <c r="F73" s="4">
        <v>231.0</v>
      </c>
      <c r="G73" s="2">
        <v>72.0</v>
      </c>
      <c r="H73" s="5"/>
      <c r="I73" s="10"/>
      <c r="J73" s="10"/>
      <c r="K73" s="11"/>
      <c r="L73" s="12">
        <f t="shared" si="1"/>
        <v>0</v>
      </c>
      <c r="M73" s="13"/>
    </row>
    <row r="74">
      <c r="A74" s="1" t="s">
        <v>305</v>
      </c>
      <c r="B74" s="2" t="s">
        <v>306</v>
      </c>
      <c r="C74" s="3" t="s">
        <v>307</v>
      </c>
      <c r="D74" s="2" t="s">
        <v>308</v>
      </c>
      <c r="E74" s="2" t="s">
        <v>309</v>
      </c>
      <c r="F74" s="4">
        <v>232.0</v>
      </c>
      <c r="G74" s="2">
        <v>73.0</v>
      </c>
      <c r="H74" s="5"/>
      <c r="I74" s="10"/>
      <c r="J74" s="10"/>
      <c r="K74" s="11"/>
      <c r="L74" s="12">
        <f t="shared" si="1"/>
        <v>0</v>
      </c>
      <c r="M74" s="13"/>
    </row>
    <row r="75">
      <c r="A75" s="1" t="s">
        <v>310</v>
      </c>
      <c r="B75" s="2" t="s">
        <v>311</v>
      </c>
      <c r="C75" s="3" t="s">
        <v>307</v>
      </c>
      <c r="D75" s="2" t="s">
        <v>312</v>
      </c>
      <c r="E75" s="2" t="s">
        <v>313</v>
      </c>
      <c r="F75" s="4">
        <v>233.0</v>
      </c>
      <c r="G75" s="2">
        <v>74.0</v>
      </c>
      <c r="H75" s="5"/>
      <c r="I75" s="10"/>
      <c r="J75" s="10"/>
      <c r="K75" s="11"/>
      <c r="L75" s="12">
        <f t="shared" si="1"/>
        <v>0</v>
      </c>
      <c r="M75" s="13"/>
    </row>
    <row r="76">
      <c r="A76" s="1" t="s">
        <v>314</v>
      </c>
      <c r="B76" s="2" t="s">
        <v>315</v>
      </c>
      <c r="C76" s="3" t="s">
        <v>316</v>
      </c>
      <c r="D76" s="2" t="s">
        <v>317</v>
      </c>
      <c r="E76" s="2" t="s">
        <v>318</v>
      </c>
      <c r="F76" s="4">
        <v>234.0</v>
      </c>
      <c r="G76" s="2">
        <v>75.0</v>
      </c>
      <c r="H76" s="5"/>
      <c r="I76" s="10"/>
      <c r="J76" s="10"/>
      <c r="K76" s="11"/>
      <c r="L76" s="12">
        <f t="shared" si="1"/>
        <v>0</v>
      </c>
      <c r="M76" s="13"/>
    </row>
    <row r="77">
      <c r="A77" s="1" t="s">
        <v>319</v>
      </c>
      <c r="B77" s="2" t="s">
        <v>320</v>
      </c>
      <c r="C77" s="3" t="s">
        <v>321</v>
      </c>
      <c r="D77" s="2" t="s">
        <v>322</v>
      </c>
      <c r="E77" s="2" t="s">
        <v>323</v>
      </c>
      <c r="F77" s="4">
        <v>235.0</v>
      </c>
      <c r="G77" s="2">
        <v>76.0</v>
      </c>
      <c r="H77" s="5"/>
      <c r="I77" s="10"/>
      <c r="J77" s="10"/>
      <c r="K77" s="11"/>
      <c r="L77" s="12">
        <f t="shared" si="1"/>
        <v>0</v>
      </c>
      <c r="M77" s="13"/>
    </row>
    <row r="78">
      <c r="A78" s="1" t="s">
        <v>324</v>
      </c>
      <c r="B78" s="2" t="s">
        <v>325</v>
      </c>
      <c r="C78" s="3" t="s">
        <v>326</v>
      </c>
      <c r="D78" s="2">
        <v>9.994912883E9</v>
      </c>
      <c r="E78" s="2" t="s">
        <v>327</v>
      </c>
      <c r="F78" s="4">
        <v>204.0</v>
      </c>
      <c r="G78" s="2">
        <v>48.0</v>
      </c>
      <c r="H78" s="5"/>
      <c r="I78" s="10"/>
      <c r="J78" s="10">
        <v>6500.0</v>
      </c>
      <c r="K78" s="11">
        <v>350.0</v>
      </c>
      <c r="L78" s="12">
        <f t="shared" si="1"/>
        <v>6850</v>
      </c>
      <c r="M78" s="13"/>
    </row>
    <row r="79">
      <c r="A79" s="15" t="s">
        <v>328</v>
      </c>
      <c r="B79" s="16"/>
      <c r="C79" s="16"/>
      <c r="D79" s="17"/>
      <c r="E79" s="18"/>
      <c r="F79" s="18"/>
      <c r="G79" s="18">
        <f>SUBTOTAL(102,G3:G78)</f>
        <v>75</v>
      </c>
      <c r="H79" s="5" t="s">
        <v>329</v>
      </c>
      <c r="I79" s="19">
        <f t="shared" ref="I79:L79" si="2">SUBTOTAL(109,I3:I78)</f>
        <v>2000</v>
      </c>
      <c r="J79" s="19">
        <f t="shared" si="2"/>
        <v>133000</v>
      </c>
      <c r="K79" s="19">
        <f t="shared" si="2"/>
        <v>7000</v>
      </c>
      <c r="L79" s="19">
        <f t="shared" si="2"/>
        <v>142000</v>
      </c>
      <c r="M79" s="20"/>
    </row>
    <row r="80">
      <c r="A80" s="21"/>
      <c r="B80" s="22"/>
      <c r="C80" s="22"/>
      <c r="D80" s="22"/>
      <c r="E80" s="22"/>
      <c r="F80" s="22"/>
      <c r="G80" s="22"/>
      <c r="H80" s="5"/>
      <c r="I80" s="23"/>
      <c r="J80" s="23"/>
      <c r="K80" s="23"/>
      <c r="L80" s="23"/>
      <c r="M80" s="13"/>
    </row>
    <row r="81">
      <c r="A81" s="21"/>
      <c r="B81" s="24"/>
      <c r="C81" s="22"/>
      <c r="D81" s="22"/>
      <c r="E81" s="22"/>
      <c r="F81" s="22"/>
      <c r="G81" s="22"/>
      <c r="H81" s="5"/>
      <c r="I81" s="25"/>
      <c r="J81" s="26"/>
      <c r="K81" s="26"/>
      <c r="L81" s="26"/>
      <c r="M81" s="13"/>
    </row>
    <row r="82">
      <c r="A82" s="21"/>
      <c r="B82" s="24"/>
      <c r="C82" s="22"/>
      <c r="D82" s="22"/>
      <c r="E82" s="22"/>
      <c r="F82" s="27"/>
      <c r="G82" s="27"/>
      <c r="H82" s="5"/>
      <c r="I82" s="28"/>
      <c r="J82" s="29"/>
      <c r="K82" s="28"/>
      <c r="L82" s="29"/>
      <c r="M82" s="13"/>
    </row>
    <row r="83">
      <c r="A83" s="30" t="s">
        <v>330</v>
      </c>
      <c r="B83" s="16"/>
      <c r="C83" s="17"/>
      <c r="D83" s="31"/>
      <c r="E83" s="32"/>
      <c r="F83" s="27"/>
      <c r="G83" s="27"/>
      <c r="H83" s="5" t="s">
        <v>331</v>
      </c>
      <c r="I83" s="33"/>
      <c r="J83" s="34"/>
      <c r="K83" s="29"/>
      <c r="L83" s="29"/>
      <c r="M83" s="13"/>
    </row>
    <row r="84">
      <c r="A84" s="27"/>
      <c r="B84" s="27"/>
      <c r="C84" s="27"/>
      <c r="D84" s="27"/>
      <c r="E84" s="27"/>
      <c r="F84" s="27"/>
      <c r="G84" s="27"/>
      <c r="H84" s="29"/>
      <c r="I84" s="29"/>
      <c r="J84" s="29"/>
      <c r="K84" s="29"/>
      <c r="L84" s="29"/>
      <c r="M84" s="27"/>
    </row>
    <row r="85">
      <c r="A85" s="27"/>
      <c r="B85" s="27"/>
      <c r="C85" s="27"/>
      <c r="D85" s="27"/>
      <c r="E85" s="27"/>
      <c r="F85" s="27"/>
      <c r="G85" s="27"/>
      <c r="H85" s="29"/>
      <c r="I85" s="29"/>
      <c r="J85" s="29"/>
      <c r="K85" s="29"/>
      <c r="L85" s="29"/>
      <c r="M85" s="27"/>
    </row>
    <row r="86">
      <c r="A86" s="27"/>
      <c r="B86" s="27"/>
      <c r="C86" s="27"/>
      <c r="D86" s="27"/>
      <c r="E86" s="27"/>
      <c r="F86" s="27"/>
      <c r="G86" s="27"/>
      <c r="H86" s="29"/>
      <c r="I86" s="29"/>
      <c r="J86" s="29"/>
      <c r="K86" s="29"/>
      <c r="L86" s="29"/>
      <c r="M86" s="27"/>
    </row>
    <row r="87">
      <c r="A87" s="27"/>
      <c r="B87" s="27"/>
      <c r="C87" s="27"/>
      <c r="D87" s="27"/>
      <c r="E87" s="27"/>
      <c r="F87" s="27"/>
      <c r="G87" s="27"/>
      <c r="H87" s="29"/>
      <c r="I87" s="29"/>
      <c r="J87" s="29"/>
      <c r="K87" s="29"/>
      <c r="L87" s="29"/>
      <c r="M87" s="27"/>
    </row>
    <row r="88">
      <c r="A88" s="27"/>
      <c r="B88" s="27"/>
      <c r="C88" s="27"/>
      <c r="D88" s="27"/>
      <c r="E88" s="27"/>
      <c r="F88" s="27"/>
      <c r="G88" s="27"/>
      <c r="H88" s="29"/>
      <c r="I88" s="29"/>
      <c r="J88" s="29"/>
      <c r="K88" s="29"/>
      <c r="L88" s="29"/>
      <c r="M88" s="27"/>
    </row>
    <row r="89">
      <c r="A89" s="30" t="s">
        <v>332</v>
      </c>
      <c r="B89" s="16"/>
      <c r="C89" s="16"/>
      <c r="D89" s="16"/>
      <c r="E89" s="16"/>
      <c r="F89" s="17"/>
      <c r="G89" s="13"/>
      <c r="H89" s="5" t="s">
        <v>333</v>
      </c>
      <c r="I89" s="35"/>
      <c r="J89" s="35"/>
      <c r="K89" s="35"/>
      <c r="L89" s="36"/>
      <c r="M89" s="13"/>
    </row>
    <row r="90">
      <c r="A90" s="37"/>
      <c r="B90" s="13"/>
      <c r="C90" s="38"/>
      <c r="D90" s="13"/>
      <c r="E90" s="13"/>
      <c r="F90" s="13"/>
      <c r="G90" s="13"/>
      <c r="H90" s="28"/>
      <c r="I90" s="28"/>
      <c r="J90" s="29"/>
      <c r="K90" s="29"/>
      <c r="L90" s="29"/>
      <c r="M90" s="13"/>
    </row>
    <row r="91">
      <c r="A91" s="37"/>
      <c r="B91" s="13"/>
      <c r="C91" s="38"/>
      <c r="D91" s="13"/>
      <c r="E91" s="13"/>
      <c r="F91" s="13"/>
      <c r="G91" s="13"/>
      <c r="H91" s="28"/>
      <c r="I91" s="28"/>
      <c r="J91" s="29"/>
      <c r="K91" s="29"/>
      <c r="L91" s="29"/>
      <c r="M91" s="13"/>
    </row>
    <row r="92">
      <c r="A92" s="37"/>
      <c r="B92" s="13"/>
      <c r="C92" s="38"/>
      <c r="D92" s="13"/>
      <c r="E92" s="13"/>
      <c r="F92" s="13"/>
      <c r="G92" s="13"/>
      <c r="H92" s="28"/>
      <c r="I92" s="28"/>
      <c r="J92" s="29"/>
      <c r="K92" s="29"/>
      <c r="L92" s="29"/>
      <c r="M92" s="13"/>
    </row>
    <row r="93">
      <c r="A93" s="37"/>
      <c r="B93" s="13"/>
      <c r="C93" s="38"/>
      <c r="D93" s="13"/>
      <c r="E93" s="13"/>
      <c r="F93" s="13"/>
      <c r="G93" s="13"/>
      <c r="H93" s="28"/>
      <c r="I93" s="28"/>
      <c r="J93" s="29"/>
      <c r="K93" s="29"/>
      <c r="L93" s="29"/>
      <c r="M93" s="13"/>
    </row>
  </sheetData>
  <autoFilter ref="$A$1:$L$82">
    <sortState ref="A1:L82">
      <sortCondition ref="H1:H82"/>
      <sortCondition ref="F1:F82"/>
    </sortState>
  </autoFilter>
  <mergeCells count="3">
    <mergeCell ref="A79:D79"/>
    <mergeCell ref="A83:C83"/>
    <mergeCell ref="A89:F89"/>
  </mergeCells>
  <printOptions horizontalCentered="1"/>
  <pageMargins bottom="0.75" footer="0.0" header="0.0" left="0.7" right="0.7" top="0.75"/>
  <pageSetup fitToHeight="0" orientation="landscape"/>
  <headerFooter>
    <oddHeader>&amp;C&amp;F</oddHeader>
    <oddFooter>&amp;L&amp;A&amp;R&amp;P</oddFooter>
  </headerFooter>
  <drawing r:id="rId1"/>
</worksheet>
</file>