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MONTOS PETA 2026" sheetId="2" r:id="rId6"/>
  </sheets>
  <definedNames/>
  <calcPr/>
</workbook>
</file>

<file path=xl/sharedStrings.xml><?xml version="1.0" encoding="utf-8"?>
<sst xmlns="http://schemas.openxmlformats.org/spreadsheetml/2006/main" count="47" uniqueCount="21">
  <si>
    <t>DEFENSA-02-045</t>
  </si>
  <si>
    <t>Permiso extraordinario para la transportación de armas de fuego con fines de caza, tiro y/o competencia nacional.</t>
  </si>
  <si>
    <r>
      <rPr>
        <rFont val="&quot;Noto Sans&quot;, &quot;Noso Sans&quot;, serif, &quot;Open Sans&quot;, &quot;Helvetica Neue&quot;, Helvetica, Arial, sans-serif"/>
        <b/>
        <color rgb="FF000000"/>
        <sz val="14.0"/>
      </rPr>
      <t>$1,8</t>
    </r>
    <r>
      <rPr>
        <rFont val="&quot;Noto Sans&quot;, &quot;Noso Sans&quot;, serif, &quot;Open Sans&quot;, &quot;Helvetica Neue&quot;, Helvetica, Arial, sans-serif"/>
        <b/>
        <color theme="1"/>
        <sz val="14.0"/>
      </rPr>
      <t/>
    </r>
    <r>
      <rPr>
        <rFont val="&quot;Noto Sans&quot;, &quot;Noso Sans&quot;, serif, &quot;Open Sans&quot;, &quot;Helvetica Neue&quot;, Helvetica, Arial, sans-serif"/>
        <b/>
        <color rgb="FF000000"/>
        <sz val="14.0"/>
      </rPr>
      <t>19.00</t>
    </r>
    <r>
      <rPr>
        <rFont val="&quot;Noto Sans&quot;, &quot;Noso Sans&quot;, serif, &quot;Open Sans&quot;, &quot;Helvetica Neue&quot;, Helvetica, Arial, sans-serif"/>
        <b/>
        <color theme="1"/>
        <sz val="14.0"/>
      </rPr>
      <t xml:space="preserve"> por 3 armas
y
</t>
    </r>
    <r>
      <rPr>
        <rFont val="&quot;Noto Sans&quot;, &quot;Noso Sans&quot;, serif, &quot;Open Sans&quot;, &quot;Helvetica Neue&quot;, Helvetica, Arial, sans-serif"/>
        <b/>
        <color rgb="FF000000"/>
        <sz val="14.0"/>
      </rPr>
      <t>$604.00</t>
    </r>
    <r>
      <rPr>
        <rFont val="&quot;Noto Sans&quot;, &quot;Noso Sans&quot;, serif, &quot;Open Sans&quot;, &quot;Helvetica Neue&quot;, Helvetica, Arial, sans-serif"/>
        <b/>
        <color theme="1"/>
        <sz val="14.0"/>
      </rPr>
      <t xml:space="preserve"> por arma adicional</t>
    </r>
  </si>
  <si>
    <t>En el concepto que, el pago deberá ser efectuado ante cualquier Institución Bancaria</t>
  </si>
  <si>
    <t>mediante el esquema electrónico denominado "e5cinco"</t>
  </si>
  <si>
    <t>, asentando la clave de referencia</t>
  </si>
  <si>
    <t>034001132 y cadena de la dependencia 00276660000000 de 1 a 3 armas de fuego y cadena de la dependencia 00276670000000 a partir de 4 hasta 10 armas de fuego, (no se acepta transferencia electrónica, ni comprobante original de pago (Boucher] que contenga mal el nombre del solicitante, la clave de referencia y/o la cadena de la Dependencia).</t>
  </si>
  <si>
    <t xml:space="preserve">CLAVE DE REFERENCIA: 034001132 </t>
  </si>
  <si>
    <t>cadena dependencia</t>
  </si>
  <si>
    <t>NUMERO ARMAS</t>
  </si>
  <si>
    <t>MONTO DERECHO</t>
  </si>
  <si>
    <t>00276660000000</t>
  </si>
  <si>
    <t>1 a 3 armas</t>
  </si>
  <si>
    <t>00276670000000</t>
  </si>
  <si>
    <t>4 armas</t>
  </si>
  <si>
    <t>5 armas</t>
  </si>
  <si>
    <t>6 armas</t>
  </si>
  <si>
    <t>7 armas</t>
  </si>
  <si>
    <t>8 armas</t>
  </si>
  <si>
    <t>9 armas</t>
  </si>
  <si>
    <t>10 armas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</si>
</sst>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404041"/>
      <name val="&quot;Noto Sans&quot;"/>
    </font>
    <font>
      <sz val="14.0"/>
      <color rgb="FF404041"/>
      <name val="&quot;Noto Sans&quot;"/>
    </font>
    <font>
      <b/>
      <sz val="14.0"/>
      <color theme="1"/>
      <name val="&quot;Noto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vertical="center"/>
    </xf>
    <xf borderId="0" fillId="2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readingOrder="0" vertical="center"/>
    </xf>
    <xf quotePrefix="1"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9.5"/>
    <col customWidth="1" min="3" max="3" width="30.25"/>
    <col customWidth="1" min="4" max="4" width="1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42.0</v>
      </c>
      <c r="B5" s="2" t="s">
        <v>0</v>
      </c>
      <c r="C5" s="3" t="s">
        <v>1</v>
      </c>
      <c r="D5" s="4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 t="s">
        <v>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 t="s">
        <v>7</v>
      </c>
      <c r="B15" s="1"/>
      <c r="C15" s="1"/>
      <c r="D15" s="8">
        <v>604.0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 t="s">
        <v>8</v>
      </c>
      <c r="B16" s="1"/>
      <c r="C16" s="7" t="s">
        <v>9</v>
      </c>
      <c r="D16" s="8" t="s">
        <v>10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9" t="s">
        <v>11</v>
      </c>
      <c r="B17" s="1"/>
      <c r="C17" s="7" t="s">
        <v>12</v>
      </c>
      <c r="D17" s="8">
        <v>1819.0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9" t="s">
        <v>13</v>
      </c>
      <c r="B18" s="1">
        <f>4-3</f>
        <v>1</v>
      </c>
      <c r="C18" s="7" t="s">
        <v>14</v>
      </c>
      <c r="D18" s="10">
        <f t="shared" ref="D18:D24" si="1">D$17+(B18*D$15)</f>
        <v>2423</v>
      </c>
      <c r="E18" s="10">
        <f t="shared" ref="E18:E24" si="2">D$15*B18</f>
        <v>604</v>
      </c>
      <c r="F18" s="10">
        <f t="shared" ref="F18:F24" si="3">D$17+E18</f>
        <v>2423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9" t="s">
        <v>13</v>
      </c>
      <c r="B19" s="1">
        <f>5-3</f>
        <v>2</v>
      </c>
      <c r="C19" s="7" t="s">
        <v>15</v>
      </c>
      <c r="D19" s="10">
        <f t="shared" si="1"/>
        <v>3027</v>
      </c>
      <c r="E19" s="10">
        <f t="shared" si="2"/>
        <v>1208</v>
      </c>
      <c r="F19" s="10">
        <f t="shared" si="3"/>
        <v>3027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9" t="s">
        <v>13</v>
      </c>
      <c r="B20" s="1">
        <f>6-3</f>
        <v>3</v>
      </c>
      <c r="C20" s="7" t="s">
        <v>16</v>
      </c>
      <c r="D20" s="10">
        <f t="shared" si="1"/>
        <v>3631</v>
      </c>
      <c r="E20" s="10">
        <f t="shared" si="2"/>
        <v>1812</v>
      </c>
      <c r="F20" s="10">
        <f t="shared" si="3"/>
        <v>3631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9" t="s">
        <v>13</v>
      </c>
      <c r="B21" s="1">
        <f>7-3</f>
        <v>4</v>
      </c>
      <c r="C21" s="7" t="s">
        <v>17</v>
      </c>
      <c r="D21" s="10">
        <f t="shared" si="1"/>
        <v>4235</v>
      </c>
      <c r="E21" s="10">
        <f t="shared" si="2"/>
        <v>2416</v>
      </c>
      <c r="F21" s="10">
        <f t="shared" si="3"/>
        <v>4235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9" t="s">
        <v>13</v>
      </c>
      <c r="B22" s="1">
        <f>8-3</f>
        <v>5</v>
      </c>
      <c r="C22" s="7" t="s">
        <v>18</v>
      </c>
      <c r="D22" s="10">
        <f t="shared" si="1"/>
        <v>4839</v>
      </c>
      <c r="E22" s="10">
        <f t="shared" si="2"/>
        <v>3020</v>
      </c>
      <c r="F22" s="10">
        <f t="shared" si="3"/>
        <v>4839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9" t="s">
        <v>13</v>
      </c>
      <c r="B23" s="1">
        <f>9-3</f>
        <v>6</v>
      </c>
      <c r="C23" s="7" t="s">
        <v>19</v>
      </c>
      <c r="D23" s="10">
        <f t="shared" si="1"/>
        <v>5443</v>
      </c>
      <c r="E23" s="10">
        <f t="shared" si="2"/>
        <v>3624</v>
      </c>
      <c r="F23" s="10">
        <f t="shared" si="3"/>
        <v>5443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9" t="s">
        <v>13</v>
      </c>
      <c r="B24" s="1">
        <f>10-3</f>
        <v>7</v>
      </c>
      <c r="C24" s="7" t="s">
        <v>20</v>
      </c>
      <c r="D24" s="10">
        <f t="shared" si="1"/>
        <v>6047</v>
      </c>
      <c r="E24" s="10">
        <f t="shared" si="2"/>
        <v>4228</v>
      </c>
      <c r="F24" s="10">
        <f t="shared" si="3"/>
        <v>6047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7"/>
      <c r="D25" s="1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3:D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0"/>
    <col customWidth="1" min="3" max="3" width="29.88"/>
  </cols>
  <sheetData>
    <row r="1">
      <c r="B1" s="11"/>
      <c r="C1" s="5" t="s">
        <v>7</v>
      </c>
    </row>
    <row r="2">
      <c r="A2" s="5" t="s">
        <v>9</v>
      </c>
      <c r="B2" s="11" t="s">
        <v>10</v>
      </c>
      <c r="C2" s="5" t="s">
        <v>8</v>
      </c>
    </row>
    <row r="3">
      <c r="A3" s="5" t="s">
        <v>12</v>
      </c>
      <c r="B3" s="11">
        <v>1819.0</v>
      </c>
      <c r="C3" s="12" t="s">
        <v>11</v>
      </c>
    </row>
    <row r="4">
      <c r="A4" s="5" t="s">
        <v>14</v>
      </c>
      <c r="B4" s="13">
        <v>2423.0</v>
      </c>
      <c r="C4" s="12" t="s">
        <v>13</v>
      </c>
    </row>
    <row r="5">
      <c r="A5" s="5" t="s">
        <v>15</v>
      </c>
      <c r="B5" s="13">
        <v>3027.0</v>
      </c>
      <c r="C5" s="12" t="s">
        <v>13</v>
      </c>
    </row>
    <row r="6">
      <c r="A6" s="5" t="s">
        <v>16</v>
      </c>
      <c r="B6" s="13">
        <v>3631.0</v>
      </c>
      <c r="C6" s="12" t="s">
        <v>13</v>
      </c>
    </row>
    <row r="7">
      <c r="A7" s="5" t="s">
        <v>17</v>
      </c>
      <c r="B7" s="13">
        <v>4235.0</v>
      </c>
      <c r="C7" s="12" t="s">
        <v>13</v>
      </c>
    </row>
    <row r="8">
      <c r="A8" s="5" t="s">
        <v>18</v>
      </c>
      <c r="B8" s="13">
        <v>4839.0</v>
      </c>
      <c r="C8" s="12" t="s">
        <v>13</v>
      </c>
    </row>
    <row r="9">
      <c r="A9" s="5" t="s">
        <v>19</v>
      </c>
      <c r="B9" s="13">
        <v>5443.0</v>
      </c>
      <c r="C9" s="12" t="s">
        <v>13</v>
      </c>
    </row>
    <row r="10">
      <c r="A10" s="5" t="s">
        <v>20</v>
      </c>
      <c r="B10" s="13">
        <v>6047.0</v>
      </c>
      <c r="C10" s="12" t="s">
        <v>13</v>
      </c>
    </row>
  </sheetData>
  <drawing r:id="rId1"/>
</worksheet>
</file>