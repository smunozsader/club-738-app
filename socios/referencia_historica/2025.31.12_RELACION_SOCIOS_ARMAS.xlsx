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munozam/Library/CloudStorage/GoogleDrive-smunozam@gmail.com/My Drive/2026. CLUB DE CAZA TIRO Y PESCA DE YUCATAN AC/2026. relacion de socios. para website/"/>
    </mc:Choice>
  </mc:AlternateContent>
  <xr:revisionPtr revIDLastSave="0" documentId="13_ncr:1_{9ADD898B-DDBB-D340-BC86-E422AF1EED04}" xr6:coauthVersionLast="47" xr6:coauthVersionMax="47" xr10:uidLastSave="{00000000-0000-0000-0000-000000000000}"/>
  <bookViews>
    <workbookView xWindow="2440" yWindow="600" windowWidth="41820" windowHeight="21040" xr2:uid="{00000000-000D-0000-FFFF-FFFF00000000}"/>
  </bookViews>
  <sheets>
    <sheet name="CLUB 738. RELACION SOCIOS 31 DI" sheetId="1" r:id="rId1"/>
    <sheet name="Anexo A" sheetId="3" r:id="rId2"/>
  </sheets>
  <externalReferences>
    <externalReference r:id="rId3"/>
  </externalReferences>
  <definedNames>
    <definedName name="_xlnm._FilterDatabase" localSheetId="0" hidden="1">'CLUB 738. RELACION SOCIOS 31 DI'!$A$1:$P$287</definedName>
    <definedName name="ñ617">'[1]Anexo C'!#REF!</definedName>
    <definedName name="OLE_LINK1_2">#REF!</definedName>
    <definedName name="_xlnm.Print_Area" localSheetId="0">'CLUB 738. RELACION SOCIOS 31 DI'!$A$2:$P$287</definedName>
    <definedName name="_xlnm.Print_Titles" localSheetId="0">'CLUB 738. RELACION SOCIOS 31 DI'!$1:$1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87" i="1" l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3" i="1"/>
  <c r="Q44" i="1"/>
  <c r="Q45" i="1"/>
  <c r="Q33" i="1"/>
  <c r="Q34" i="1"/>
  <c r="Q35" i="1"/>
  <c r="Q36" i="1"/>
  <c r="Q37" i="1"/>
  <c r="Q38" i="1"/>
  <c r="Q39" i="1"/>
  <c r="Q40" i="1"/>
  <c r="Q41" i="1"/>
  <c r="Q42" i="1"/>
  <c r="Q24" i="1"/>
  <c r="Q25" i="1"/>
  <c r="Q26" i="1"/>
  <c r="Q27" i="1"/>
  <c r="Q28" i="1"/>
  <c r="Q29" i="1"/>
  <c r="Q30" i="1"/>
  <c r="Q31" i="1"/>
  <c r="Q32" i="1"/>
  <c r="Q16" i="1"/>
  <c r="Q17" i="1"/>
  <c r="Q18" i="1"/>
  <c r="Q19" i="1"/>
  <c r="Q20" i="1"/>
  <c r="Q21" i="1"/>
  <c r="Q22" i="1"/>
  <c r="Q23" i="1"/>
  <c r="Q9" i="1"/>
  <c r="Q10" i="1"/>
  <c r="Q11" i="1"/>
  <c r="Q12" i="1"/>
  <c r="Q13" i="1"/>
  <c r="Q14" i="1"/>
  <c r="Q15" i="1"/>
  <c r="Q3" i="1"/>
  <c r="Q4" i="1"/>
  <c r="Q5" i="1"/>
  <c r="Q6" i="1"/>
  <c r="Q7" i="1"/>
  <c r="Q8" i="1"/>
  <c r="Q2" i="1"/>
</calcChain>
</file>

<file path=xl/sharedStrings.xml><?xml version="1.0" encoding="utf-8"?>
<sst xmlns="http://schemas.openxmlformats.org/spreadsheetml/2006/main" count="3340" uniqueCount="1243">
  <si>
    <t>No. REGISTRO DEL CLUB</t>
  </si>
  <si>
    <t>DOMICILIO DEL CLUB</t>
  </si>
  <si>
    <t>NOMBRE DEL SOCIO 
(No. CREDENCIAL)</t>
  </si>
  <si>
    <t>CURP</t>
  </si>
  <si>
    <t>No. CONSEC. DE SOCIO</t>
  </si>
  <si>
    <t>DOMICILIO DEL SOCIO</t>
  </si>
  <si>
    <t>TELEFONO</t>
  </si>
  <si>
    <t>EMAIL</t>
  </si>
  <si>
    <t>CLASE</t>
  </si>
  <si>
    <t>CALIBRE</t>
  </si>
  <si>
    <t>MARCA</t>
  </si>
  <si>
    <t>MODELO</t>
  </si>
  <si>
    <t>MATRÍCULA</t>
  </si>
  <si>
    <t>FOLIO</t>
  </si>
  <si>
    <t>ARMAS CORTAS</t>
  </si>
  <si>
    <t>ARMAS LARGAS</t>
  </si>
  <si>
    <t>CALLE 50 No. 531-E x 69 y 71, CENTRO, 97000 MÉRIDA, YUC.</t>
  </si>
  <si>
    <t>1. RICARDO JESÚS FERNÁNDEZ Y GASQUE</t>
  </si>
  <si>
    <t>FEGR350218HYNRSC04</t>
  </si>
  <si>
    <t>CALLE 44 No. 438 x 21 y 23 FRACC. LOS PINOS, MÉRIDA, YUC. CP 97138</t>
  </si>
  <si>
    <t>richfegas@icloud.com</t>
  </si>
  <si>
    <t>PISTOLA</t>
  </si>
  <si>
    <t xml:space="preserve">.380" </t>
  </si>
  <si>
    <t>CESKA ZBROJOVKA</t>
  </si>
  <si>
    <t>CZ SHADOW 2</t>
  </si>
  <si>
    <t>EP33315</t>
  </si>
  <si>
    <t>A3840705</t>
  </si>
  <si>
    <t>FP38774</t>
  </si>
  <si>
    <t>A3892685</t>
  </si>
  <si>
    <t>KIT DE CONVERSION</t>
  </si>
  <si>
    <t>22 LR</t>
  </si>
  <si>
    <t>CZ P07</t>
  </si>
  <si>
    <t>EP33673</t>
  </si>
  <si>
    <t>A3860035</t>
  </si>
  <si>
    <t>RIFLE SEMIAUTOMATICO</t>
  </si>
  <si>
    <t>.22" L.R.</t>
  </si>
  <si>
    <t>TIPPMANN-ARMS</t>
  </si>
  <si>
    <t>M4-22</t>
  </si>
  <si>
    <t>069654</t>
  </si>
  <si>
    <t>A3860045</t>
  </si>
  <si>
    <t>30. JOSE JACINTO LIZARRAGA AVILA</t>
  </si>
  <si>
    <t>LIZJ750609HYNZVC08</t>
  </si>
  <si>
    <t>CALLE 25 x 22 y 24 No. 319, COL. SAN PEDRO CHOLUL, MÉRIDA, YUC. CP 97138</t>
  </si>
  <si>
    <t>9991336764</t>
  </si>
  <si>
    <t>jacintolizarraga@hotmail.com</t>
  </si>
  <si>
    <t>0.380"</t>
  </si>
  <si>
    <t>WALTHER</t>
  </si>
  <si>
    <t>PPKS</t>
  </si>
  <si>
    <t>A 3061194</t>
  </si>
  <si>
    <t>0.22"</t>
  </si>
  <si>
    <t>SMITH &amp; WESSON</t>
  </si>
  <si>
    <t>A 3061195</t>
  </si>
  <si>
    <t>0-380"</t>
  </si>
  <si>
    <t>GLOCK</t>
  </si>
  <si>
    <t>25</t>
  </si>
  <si>
    <t>MXF795</t>
  </si>
  <si>
    <t>B 404935</t>
  </si>
  <si>
    <t>RIFLE</t>
  </si>
  <si>
    <t>0.22" L.R.</t>
  </si>
  <si>
    <t>G22</t>
  </si>
  <si>
    <t>WP016316</t>
  </si>
  <si>
    <t>B 405098</t>
  </si>
  <si>
    <t>SPRINGFIELD</t>
  </si>
  <si>
    <t>OF 1922</t>
  </si>
  <si>
    <t>2683B</t>
  </si>
  <si>
    <t>A 3061197</t>
  </si>
  <si>
    <t>31. ADOLFO XACUR RIVERA</t>
  </si>
  <si>
    <t>XARA661008HYNCVD08</t>
  </si>
  <si>
    <t>Calle 36-B No. 285 x 33 y 35 COL. BENITO JUÁREZ, MÉRIDA, YUC. CP 97119</t>
  </si>
  <si>
    <t>fit.x66@hotmail.com</t>
  </si>
  <si>
    <t>LME199</t>
  </si>
  <si>
    <t>A 2673841</t>
  </si>
  <si>
    <t>REVOLVER</t>
  </si>
  <si>
    <t>38 SPL</t>
  </si>
  <si>
    <t>19-3</t>
  </si>
  <si>
    <t>7 K39813</t>
  </si>
  <si>
    <t>A 2673978</t>
  </si>
  <si>
    <t>HECKLER &amp; KOCH</t>
  </si>
  <si>
    <t>HK 416 D</t>
  </si>
  <si>
    <t>HK006418</t>
  </si>
  <si>
    <t>F 198308</t>
  </si>
  <si>
    <t>TAURUS</t>
  </si>
  <si>
    <t>PT 58 HC PLUS</t>
  </si>
  <si>
    <t>KDS62481</t>
  </si>
  <si>
    <t>F 198309</t>
  </si>
  <si>
    <t>ESCOPETA</t>
  </si>
  <si>
    <t>MOSSBERG</t>
  </si>
  <si>
    <t>T581059</t>
  </si>
  <si>
    <t>B 307607</t>
  </si>
  <si>
    <t>JC HIGGINS</t>
  </si>
  <si>
    <t>B 307650</t>
  </si>
  <si>
    <t>30 06</t>
  </si>
  <si>
    <t>WINCHESTER</t>
  </si>
  <si>
    <t>SAKO</t>
  </si>
  <si>
    <t>AV597290</t>
  </si>
  <si>
    <t>B 371435</t>
  </si>
  <si>
    <t>COLT'S</t>
  </si>
  <si>
    <t>SIN</t>
  </si>
  <si>
    <t>23953K</t>
  </si>
  <si>
    <t>A 3420104</t>
  </si>
  <si>
    <t>46. REMIGIO BEETHOVEN AGUILAR CANTO</t>
  </si>
  <si>
    <t>AUCR770225HYNGNM08</t>
  </si>
  <si>
    <t>20 No. 50 x 5 y 7, COL. MÉXICO, MÉRIDA, YUC. CP 97128</t>
  </si>
  <si>
    <t>9999238686</t>
  </si>
  <si>
    <t>sysaventas@hotmail.com</t>
  </si>
  <si>
    <t>0.220" SWIFT</t>
  </si>
  <si>
    <t>70</t>
  </si>
  <si>
    <t>138092</t>
  </si>
  <si>
    <t>A 3502535</t>
  </si>
  <si>
    <t>12</t>
  </si>
  <si>
    <t>BROWNING</t>
  </si>
  <si>
    <t>DUCKS UNLIMITED</t>
  </si>
  <si>
    <t>89 DU 002435</t>
  </si>
  <si>
    <t>A 2673993</t>
  </si>
  <si>
    <t>.257" ROBERTS</t>
  </si>
  <si>
    <t>STEYRS</t>
  </si>
  <si>
    <t>1950</t>
  </si>
  <si>
    <t>6274</t>
  </si>
  <si>
    <t>B 462699</t>
  </si>
  <si>
    <t>20 GA</t>
  </si>
  <si>
    <t>B-80</t>
  </si>
  <si>
    <t>471NZ11158</t>
  </si>
  <si>
    <t>B 488347</t>
  </si>
  <si>
    <t>0.22" HORNET</t>
  </si>
  <si>
    <t>KIMBER</t>
  </si>
  <si>
    <t>82</t>
  </si>
  <si>
    <t>H1103</t>
  </si>
  <si>
    <t>B 485374</t>
  </si>
  <si>
    <t>0.300" WBY. MAG</t>
  </si>
  <si>
    <t>BANSNERs</t>
  </si>
  <si>
    <t>X-TREME SHEEP HUNTER</t>
  </si>
  <si>
    <t>S6514282</t>
  </si>
  <si>
    <t>B 405163</t>
  </si>
  <si>
    <t>CITORI</t>
  </si>
  <si>
    <t>02886 NX1B3</t>
  </si>
  <si>
    <t>A 2673992</t>
  </si>
  <si>
    <t>RUGER</t>
  </si>
  <si>
    <t>19/22</t>
  </si>
  <si>
    <t>C63-1970</t>
  </si>
  <si>
    <t>A 3420314</t>
  </si>
  <si>
    <t>CZ</t>
  </si>
  <si>
    <t>452 ZKM</t>
  </si>
  <si>
    <t>A357238</t>
  </si>
  <si>
    <t>A 3420757</t>
  </si>
  <si>
    <t>0.300" REM. ULTRA. MAG./  CUENTA CON CAÑÓN ADIC. 
CREEDMOOR  CAL. 6.5 mm  MAT. R/163932</t>
  </si>
  <si>
    <t>BLASER</t>
  </si>
  <si>
    <t>R8</t>
  </si>
  <si>
    <t>R/125521</t>
  </si>
  <si>
    <t>A 3421384</t>
  </si>
  <si>
    <t>51. MANUEL JESÚS CHAIDEZ PALACIOS</t>
  </si>
  <si>
    <t>CAPM841222HSLHLN09</t>
  </si>
  <si>
    <t>DOMICILIO CONOCIDO ANEXO 3, CERCA DE LA COCINA, BECANCHEN, TEKAX, YUC.  CP 97960</t>
  </si>
  <si>
    <t>manuel.chaidez@valledelsur.com.mx</t>
  </si>
  <si>
    <t xml:space="preserve">12 GA </t>
  </si>
  <si>
    <t>REMINGTON</t>
  </si>
  <si>
    <t>870</t>
  </si>
  <si>
    <t>D 062012 M</t>
  </si>
  <si>
    <t>A 3061142</t>
  </si>
  <si>
    <t>BENELLI</t>
  </si>
  <si>
    <t>M2</t>
  </si>
  <si>
    <t>N131954S</t>
  </si>
  <si>
    <t>A 3061160</t>
  </si>
  <si>
    <t>N131929A</t>
  </si>
  <si>
    <t>A 3421580</t>
  </si>
  <si>
    <t>12 GA</t>
  </si>
  <si>
    <t>STOEGER</t>
  </si>
  <si>
    <t>2000</t>
  </si>
  <si>
    <t>629767</t>
  </si>
  <si>
    <t>A 3061140</t>
  </si>
  <si>
    <t>627884</t>
  </si>
  <si>
    <t>A 3061141</t>
  </si>
  <si>
    <t>53. PAULINO EDILBERTO MONFORTE TRAVA</t>
  </si>
  <si>
    <t>MOTP610622HYNNRL09</t>
  </si>
  <si>
    <t>CALLE 33 No. 331 x 18 y 20 FRACC. PEDREGALES DE TANLUM, MÉRIDA, YUC. CP 97200</t>
  </si>
  <si>
    <t>talleresmonforte@hotmail.com</t>
  </si>
  <si>
    <t>870-LW</t>
  </si>
  <si>
    <t>T-903674-K</t>
  </si>
  <si>
    <t>B 171337</t>
  </si>
  <si>
    <t>1100</t>
  </si>
  <si>
    <t>N 369521 V</t>
  </si>
  <si>
    <t>A 1955811</t>
  </si>
  <si>
    <t>FABARM</t>
  </si>
  <si>
    <t>LION H368</t>
  </si>
  <si>
    <t>FA036796</t>
  </si>
  <si>
    <t>A 3287014</t>
  </si>
  <si>
    <t>GLENFIELD</t>
  </si>
  <si>
    <t>60</t>
  </si>
  <si>
    <t>25345906</t>
  </si>
  <si>
    <t>A 3287016</t>
  </si>
  <si>
    <t>XS SPECIAL</t>
  </si>
  <si>
    <t>06649ZZ</t>
  </si>
  <si>
    <t>B 295396</t>
  </si>
  <si>
    <t>0.243" WIN</t>
  </si>
  <si>
    <t>SAVAGE</t>
  </si>
  <si>
    <t>AXIS</t>
  </si>
  <si>
    <t>K839383</t>
  </si>
  <si>
    <t>F 296282</t>
  </si>
  <si>
    <t>700</t>
  </si>
  <si>
    <t>G7138010</t>
  </si>
  <si>
    <t>A 3420203</t>
  </si>
  <si>
    <t>70. RIGOMAR HINOJOSA SHIELDS</t>
  </si>
  <si>
    <t>HISR591125HCCNHG06</t>
  </si>
  <si>
    <t>AV. EUGENIO ECHEVERRÍA CASTELLOT No. 37 ENTRE 36 Y 38, COL. PLAYA NORTE, CD. DEL CARMEN, CAMP. CP 24115</t>
  </si>
  <si>
    <t>recosadecv@prodigy.net.mx</t>
  </si>
  <si>
    <t>597</t>
  </si>
  <si>
    <t>A2628160</t>
  </si>
  <si>
    <t>A 3770352</t>
  </si>
  <si>
    <t>.22" MAG.</t>
  </si>
  <si>
    <t>KEL-TEC</t>
  </si>
  <si>
    <t>PMR-30</t>
  </si>
  <si>
    <t>WYHA35</t>
  </si>
  <si>
    <t>A3816658</t>
  </si>
  <si>
    <t>CZ452-2E ZKM</t>
  </si>
  <si>
    <t>A680692</t>
  </si>
  <si>
    <t>A 3632985</t>
  </si>
  <si>
    <t>GSP EXPERT</t>
  </si>
  <si>
    <t>247015</t>
  </si>
  <si>
    <t>A 3632980</t>
  </si>
  <si>
    <t>.380"</t>
  </si>
  <si>
    <t>NRY223</t>
  </si>
  <si>
    <t>A 3632959</t>
  </si>
  <si>
    <t>.22 L.R.</t>
  </si>
  <si>
    <t>BERETTA</t>
  </si>
  <si>
    <t>92</t>
  </si>
  <si>
    <t>L121148Z</t>
  </si>
  <si>
    <t>A 3615165</t>
  </si>
  <si>
    <t>0.380" AUTO</t>
  </si>
  <si>
    <t>CZ P 07</t>
  </si>
  <si>
    <t>C343174</t>
  </si>
  <si>
    <t>A 3634306</t>
  </si>
  <si>
    <t>SX3</t>
  </si>
  <si>
    <t>11HZX03035</t>
  </si>
  <si>
    <t>A 3632954</t>
  </si>
  <si>
    <t>COLT</t>
  </si>
  <si>
    <t>M4</t>
  </si>
  <si>
    <t>BP053312</t>
  </si>
  <si>
    <t>A 3633237</t>
  </si>
  <si>
    <t>223" REM</t>
  </si>
  <si>
    <t>CZ 527 VARMINT</t>
  </si>
  <si>
    <t>A804451</t>
  </si>
  <si>
    <t>A 3632972</t>
  </si>
  <si>
    <t>74. JUAN CARLOS JORDAN LOPEZ</t>
  </si>
  <si>
    <t>JOLJ720624HYNRPN04</t>
  </si>
  <si>
    <t>CALLE 16-B No. 225 x 39-B y 39-F COL. SAN PEDRO CHOLUL, MÉRIDA, YUC. CP 97138</t>
  </si>
  <si>
    <t>jordan910@hotmail.com</t>
  </si>
  <si>
    <t>HK</t>
  </si>
  <si>
    <t>HK416D</t>
  </si>
  <si>
    <t>HK006250</t>
  </si>
  <si>
    <t>A 3421653</t>
  </si>
  <si>
    <t>300 WIN. MAG.</t>
  </si>
  <si>
    <t>CZ 550 MAGNUM</t>
  </si>
  <si>
    <t>K5006</t>
  </si>
  <si>
    <t>A 3421657</t>
  </si>
  <si>
    <t>0.223" REM.</t>
  </si>
  <si>
    <t>MR1</t>
  </si>
  <si>
    <t>BC008469T</t>
  </si>
  <si>
    <t>B 405083</t>
  </si>
  <si>
    <t>.243" WIN.</t>
  </si>
  <si>
    <t>RR22710A</t>
  </si>
  <si>
    <t>A 3421651</t>
  </si>
  <si>
    <t>87. JORGE ALFREDO DAWN MEDINA</t>
  </si>
  <si>
    <t>DAMJ690611HYNWDR03</t>
  </si>
  <si>
    <t>CALLE 47-C S/N x 2-A y 4 COL. LEANDRO VALLE DE CHICHI DÍAZ, MÉRIDA, YUC. CP 97143</t>
  </si>
  <si>
    <t>9999005153</t>
  </si>
  <si>
    <t>jorgedawn@prodigy.net.mx</t>
  </si>
  <si>
    <t>VINCI</t>
  </si>
  <si>
    <t>BG025907</t>
  </si>
  <si>
    <t>D</t>
  </si>
  <si>
    <t>22</t>
  </si>
  <si>
    <t>20763084</t>
  </si>
  <si>
    <t>A 3060919</t>
  </si>
  <si>
    <t>0.243"</t>
  </si>
  <si>
    <t>RR05700C</t>
  </si>
  <si>
    <t>B 439750</t>
  </si>
  <si>
    <t>500</t>
  </si>
  <si>
    <t>U899313</t>
  </si>
  <si>
    <t>A 3286632</t>
  </si>
  <si>
    <t>MAXUS</t>
  </si>
  <si>
    <t>115ZR07085</t>
  </si>
  <si>
    <t>B 40513</t>
  </si>
  <si>
    <t>.380" ACP</t>
  </si>
  <si>
    <t>TANFOGLIO</t>
  </si>
  <si>
    <t>FT 9 FS SPORT</t>
  </si>
  <si>
    <t>AA23335</t>
  </si>
  <si>
    <t>F 266799</t>
  </si>
  <si>
    <t>88. SERGIO SANTINELLI GRAJALES</t>
  </si>
  <si>
    <t>SAGS611114HDFNRR05</t>
  </si>
  <si>
    <t>CALLE KANHA No. 85, YUCATÁN COUNTRY CLUB, MÉRIDA, YUC. C.P. 97308</t>
  </si>
  <si>
    <t>ssg@santinelli.com.mx</t>
  </si>
  <si>
    <t>63</t>
  </si>
  <si>
    <t>149114A</t>
  </si>
  <si>
    <t>A 3422747</t>
  </si>
  <si>
    <t>47</t>
  </si>
  <si>
    <t>A 3422746</t>
  </si>
  <si>
    <t>44618</t>
  </si>
  <si>
    <t>K114603</t>
  </si>
  <si>
    <t>A 3422751</t>
  </si>
  <si>
    <t>34-1</t>
  </si>
  <si>
    <t>92995</t>
  </si>
  <si>
    <t>A 3422752</t>
  </si>
  <si>
    <t>.38" SPL.</t>
  </si>
  <si>
    <t>K 94403</t>
  </si>
  <si>
    <t>A 3422750</t>
  </si>
  <si>
    <t>.380" (9mm CORTO)</t>
  </si>
  <si>
    <t>PPK/S</t>
  </si>
  <si>
    <t>S099225</t>
  </si>
  <si>
    <t>A 3422755</t>
  </si>
  <si>
    <t>.25"</t>
  </si>
  <si>
    <t>950 B</t>
  </si>
  <si>
    <t>B63320</t>
  </si>
  <si>
    <t>A 3422748</t>
  </si>
  <si>
    <t>.308"</t>
  </si>
  <si>
    <t>ANSCHUTZ</t>
  </si>
  <si>
    <t>110</t>
  </si>
  <si>
    <t>67995</t>
  </si>
  <si>
    <t>A 3422745</t>
  </si>
  <si>
    <t>97. CLAUDIO MAURICIO CANAVATI FARAH</t>
  </si>
  <si>
    <t>CAFC660725HDFNRL03</t>
  </si>
  <si>
    <t>PASEO DE LOS AHUEHUETES No. 874, B NÍSPEROS Y B CASTAÑOS, BOSQUES DE LAS LOMAS, MIGUEL HIDALGO, MÉXICO, D.F. CP 05120</t>
  </si>
  <si>
    <t>5554536965</t>
  </si>
  <si>
    <t>cc@secure.mx</t>
  </si>
  <si>
    <t>308 WIN</t>
  </si>
  <si>
    <t>X-BOLT</t>
  </si>
  <si>
    <t>52761ZZ354</t>
  </si>
  <si>
    <t>A 3392280</t>
  </si>
  <si>
    <t>ISSC</t>
  </si>
  <si>
    <t>MK22</t>
  </si>
  <si>
    <t>A393550</t>
  </si>
  <si>
    <t>A 3392282</t>
  </si>
  <si>
    <t>30 - 06</t>
  </si>
  <si>
    <t>52729ZZ354</t>
  </si>
  <si>
    <t>A 3392281</t>
  </si>
  <si>
    <t>300 WIN MAG.</t>
  </si>
  <si>
    <t>SAFARI</t>
  </si>
  <si>
    <t>311ZY02998</t>
  </si>
  <si>
    <t>A 3392283</t>
  </si>
  <si>
    <t>7 MM</t>
  </si>
  <si>
    <t>E6527940</t>
  </si>
  <si>
    <t>A 3392284</t>
  </si>
  <si>
    <t>BG051371D</t>
  </si>
  <si>
    <t>A 3392279</t>
  </si>
  <si>
    <t>0.223" REM</t>
  </si>
  <si>
    <t>CZ 527 AMERICAN</t>
  </si>
  <si>
    <t>A801895</t>
  </si>
  <si>
    <t>A 3392278</t>
  </si>
  <si>
    <t>.22"</t>
  </si>
  <si>
    <t>ROCK ISLAND</t>
  </si>
  <si>
    <t>M1911 A2 FS-MM</t>
  </si>
  <si>
    <t>TCM03978</t>
  </si>
  <si>
    <t>A3469213</t>
  </si>
  <si>
    <t>99. ALEJANDRO FRANCISCO RIVAS PINTADO</t>
  </si>
  <si>
    <t>RIPA800807HYNVNL07</t>
  </si>
  <si>
    <t>CALLE 42 No. 194-A x 35 y 37, CENTRO, VALLADOLID, YUC. CP 97780</t>
  </si>
  <si>
    <t>al3xrivas@gmail.com</t>
  </si>
  <si>
    <t>BC008976Z</t>
  </si>
  <si>
    <t>A 3420732</t>
  </si>
  <si>
    <t>.380" AUTO</t>
  </si>
  <si>
    <t>C126830</t>
  </si>
  <si>
    <t>B 540624</t>
  </si>
  <si>
    <t>30 - 06"</t>
  </si>
  <si>
    <t>STEYR</t>
  </si>
  <si>
    <t>B 4217</t>
  </si>
  <si>
    <t>A 3061846</t>
  </si>
  <si>
    <t>SIG SAUER</t>
  </si>
  <si>
    <t>P365</t>
  </si>
  <si>
    <t>66FS277755</t>
  </si>
  <si>
    <t>102. JOSE VICENTE TRUJILLO LUCIC</t>
  </si>
  <si>
    <t>TULV760925HYNRCC04</t>
  </si>
  <si>
    <t xml:space="preserve">CALLE 32 NÚM. 232 B x 37 y 45 DIAGONAL, COLONIA SANTA RITA CHOLUL CP 97130
</t>
  </si>
  <si>
    <t>9999600269</t>
  </si>
  <si>
    <t>jvtl@hotmail.com</t>
  </si>
  <si>
    <t>BP015743</t>
  </si>
  <si>
    <t>A 3286352</t>
  </si>
  <si>
    <t>0.223"</t>
  </si>
  <si>
    <t>BC008693N</t>
  </si>
  <si>
    <t>A 3286354</t>
  </si>
  <si>
    <t>RBW348</t>
  </si>
  <si>
    <t>A 3286353</t>
  </si>
  <si>
    <t>103. EDGAR EDILBERTO MONFORTE ESCOBEDO</t>
  </si>
  <si>
    <t>MOEE870627HYNNSD04</t>
  </si>
  <si>
    <t>CALLE 35 No. 331 x 18 y 20, COL. PEDREGALES DE TANLUM, MÉRIDA, YUC. CP 97210</t>
  </si>
  <si>
    <t>monfo87_@hotmail.com</t>
  </si>
  <si>
    <t>ATA ARMS</t>
  </si>
  <si>
    <t>CY</t>
  </si>
  <si>
    <t>15/D51877</t>
  </si>
  <si>
    <t>A 3419293</t>
  </si>
  <si>
    <t>930</t>
  </si>
  <si>
    <t>AF042162</t>
  </si>
  <si>
    <t>B 317832</t>
  </si>
  <si>
    <t>12 G.A.</t>
  </si>
  <si>
    <t>682 GOLD E</t>
  </si>
  <si>
    <t>U96686 B</t>
  </si>
  <si>
    <t>B 405118</t>
  </si>
  <si>
    <t>692 SPORTING</t>
  </si>
  <si>
    <t>SX22338A</t>
  </si>
  <si>
    <t>B 404590</t>
  </si>
  <si>
    <t>692</t>
  </si>
  <si>
    <t>SX23078A</t>
  </si>
  <si>
    <t>B 612874</t>
  </si>
  <si>
    <t>107. JUAN CARLOS BRICEÑO GONZALEZ</t>
  </si>
  <si>
    <t>BIGJ760724HYNRNN06</t>
  </si>
  <si>
    <t>CALLE 17-A No. 389 x 16-A y 16-B, FRACC. PARAÍSO MAYA, MÉRIDA, YUC. CP 97134</t>
  </si>
  <si>
    <t>jcb197624@hotmail.com</t>
  </si>
  <si>
    <t>PIETRO BERETTA</t>
  </si>
  <si>
    <t>84FS CHEETAH</t>
  </si>
  <si>
    <t>H40142Y</t>
  </si>
  <si>
    <t>A 3061726</t>
  </si>
  <si>
    <t>ADW714</t>
  </si>
  <si>
    <t>B 318096</t>
  </si>
  <si>
    <t>UDV886</t>
  </si>
  <si>
    <t>B 347213</t>
  </si>
  <si>
    <t>C2707149</t>
  </si>
  <si>
    <t>B 317957</t>
  </si>
  <si>
    <t>113. CARLOS ANTONIO GRANJA PEREZ</t>
  </si>
  <si>
    <t>GAPC790619HYNRRR09</t>
  </si>
  <si>
    <t>CALLE 35 No. 36 x 12 y 14, FRACC. COLONIAL CHUBURNA, MÉRIDA, YUC. CP 97215</t>
  </si>
  <si>
    <t>carlosgranja@gmail.com</t>
  </si>
  <si>
    <t>A5</t>
  </si>
  <si>
    <t>116ZY13469</t>
  </si>
  <si>
    <t>A 3285631</t>
  </si>
  <si>
    <t>MAVERICK</t>
  </si>
  <si>
    <t>EAGLE PASS TX.</t>
  </si>
  <si>
    <t>MV34962A</t>
  </si>
  <si>
    <t>A 3061736</t>
  </si>
  <si>
    <t>STEVENS</t>
  </si>
  <si>
    <t>987</t>
  </si>
  <si>
    <t>0783921</t>
  </si>
  <si>
    <t>A 3061737</t>
  </si>
  <si>
    <t>20</t>
  </si>
  <si>
    <t>SILVER</t>
  </si>
  <si>
    <t>114ZM05273</t>
  </si>
  <si>
    <t>B 318058</t>
  </si>
  <si>
    <t>0.222"</t>
  </si>
  <si>
    <t>527</t>
  </si>
  <si>
    <t>97049</t>
  </si>
  <si>
    <t>B 347126</t>
  </si>
  <si>
    <t>DUCA DI MONTEFELTRO</t>
  </si>
  <si>
    <t>N103817</t>
  </si>
  <si>
    <t>B371483</t>
  </si>
  <si>
    <t>G6633745</t>
  </si>
  <si>
    <t>B 469613</t>
  </si>
  <si>
    <t>365739</t>
  </si>
  <si>
    <t>B 469614</t>
  </si>
  <si>
    <t>140</t>
  </si>
  <si>
    <t>N988610</t>
  </si>
  <si>
    <t>B 469615</t>
  </si>
  <si>
    <t>ESCOPETA RIFLE</t>
  </si>
  <si>
    <t>.410" y 0.22"</t>
  </si>
  <si>
    <t>24J-DL</t>
  </si>
  <si>
    <t>A 3279302</t>
  </si>
  <si>
    <t>115. ROBERTO JOSE MADAHUAR BOEHM</t>
  </si>
  <si>
    <t>MABR671122HYNDHB07</t>
  </si>
  <si>
    <t>CALLE 41 No. 199 x 18, FRACC. MONTERREAL, MÉRIDA, YUC. CP 97133</t>
  </si>
  <si>
    <t>9999473478</t>
  </si>
  <si>
    <t>madahuar@cotexsa.com.mx</t>
  </si>
  <si>
    <t>N143004W</t>
  </si>
  <si>
    <t>A 3285622</t>
  </si>
  <si>
    <t>BGO45573P</t>
  </si>
  <si>
    <t>A 3285623</t>
  </si>
  <si>
    <t>123. HUGO MARTINEZ HERNANDEZ</t>
  </si>
  <si>
    <t>MAHH810329HYNRRG09</t>
  </si>
  <si>
    <t>CALLE 18 S/N, COL. SAN ANTONIO, HECELCHAKÁN, CAMP. CP 24800</t>
  </si>
  <si>
    <t>humh4@hotmail.com</t>
  </si>
  <si>
    <t>OZdU44</t>
  </si>
  <si>
    <t>A 3202184</t>
  </si>
  <si>
    <t>F.N. ACTION</t>
  </si>
  <si>
    <t>R01050</t>
  </si>
  <si>
    <t>B 516103</t>
  </si>
  <si>
    <t>S 55</t>
  </si>
  <si>
    <t>B 44702</t>
  </si>
  <si>
    <t>A 3287049</t>
  </si>
  <si>
    <t>.270" WIN</t>
  </si>
  <si>
    <t>85M</t>
  </si>
  <si>
    <t>L89599</t>
  </si>
  <si>
    <t>F 315411</t>
  </si>
  <si>
    <t>137. JOSE HIPOLITO BARRERA AKE</t>
  </si>
  <si>
    <t>BAAH530514HCCRKP07</t>
  </si>
  <si>
    <t>C. BENJAMIN ROMERO No. 64, U. HAB. CIUDAD CONCORDIA, CAMPECHE, CAMP. CP 24085</t>
  </si>
  <si>
    <t>josebadz@outlook.com</t>
  </si>
  <si>
    <t>T700656</t>
  </si>
  <si>
    <t>A 3378577</t>
  </si>
  <si>
    <t>MENDOZA</t>
  </si>
  <si>
    <t>PUMA</t>
  </si>
  <si>
    <t>B 316923</t>
  </si>
  <si>
    <t>U951313</t>
  </si>
  <si>
    <t>B 316922</t>
  </si>
  <si>
    <t>4X4</t>
  </si>
  <si>
    <t>BA375043</t>
  </si>
  <si>
    <t>B 316921</t>
  </si>
  <si>
    <t>AF145545</t>
  </si>
  <si>
    <t>B 536772</t>
  </si>
  <si>
    <t>308" WIN</t>
  </si>
  <si>
    <t>CZ 550</t>
  </si>
  <si>
    <t>AB05239</t>
  </si>
  <si>
    <t>B 519815</t>
  </si>
  <si>
    <t>142. ALEJANDRO JAVIER GARCÍA GAMBOA</t>
  </si>
  <si>
    <t>GAGA590307HYNRML03</t>
  </si>
  <si>
    <t>CALLE 60 No. 385 x 41 y 43, COL. CENTRO, MÉRIDA, YUC. CP 97000</t>
  </si>
  <si>
    <t>cudaosj@hotmail.com</t>
  </si>
  <si>
    <t>P. BERETTA</t>
  </si>
  <si>
    <t>A390ST</t>
  </si>
  <si>
    <t>P 43546E</t>
  </si>
  <si>
    <t>A 3285515</t>
  </si>
  <si>
    <t>.300 WIN MAG.</t>
  </si>
  <si>
    <t>BROWNING BAR</t>
  </si>
  <si>
    <t>137 PV 05500</t>
  </si>
  <si>
    <t>A 3285516</t>
  </si>
  <si>
    <t>G.S.G.</t>
  </si>
  <si>
    <t>GSG-5</t>
  </si>
  <si>
    <t>B027933</t>
  </si>
  <si>
    <t>A 3286778</t>
  </si>
  <si>
    <t>B027932</t>
  </si>
  <si>
    <t>A 3286779</t>
  </si>
  <si>
    <t>B029292</t>
  </si>
  <si>
    <t>A 3286780</t>
  </si>
  <si>
    <t>144. SERGIO MUÑOZ DE ALBA MEDRANO</t>
  </si>
  <si>
    <t>MUMS640728HDFXDR02</t>
  </si>
  <si>
    <t>CALLE 26 No. 246 x 15 DEPTO. B COL VISTA ALEGRE, MÉRIDA, YUC. C.P. 97130</t>
  </si>
  <si>
    <t>smunozam@gmail.com</t>
  </si>
  <si>
    <t>PHOENIX</t>
  </si>
  <si>
    <t>113MP17119</t>
  </si>
  <si>
    <t>A 3777701</t>
  </si>
  <si>
    <t>682 GOLD E.</t>
  </si>
  <si>
    <t>U 17049 B</t>
  </si>
  <si>
    <t>A 3777708</t>
  </si>
  <si>
    <t>FP38781</t>
  </si>
  <si>
    <t>A3892688</t>
  </si>
  <si>
    <t>A800214</t>
  </si>
  <si>
    <t>A 3777704</t>
  </si>
  <si>
    <t>EP33586</t>
  </si>
  <si>
    <t>A3892690</t>
  </si>
  <si>
    <t>.223" REM.</t>
  </si>
  <si>
    <t>CZ 600 ALPHA</t>
  </si>
  <si>
    <t>J032612</t>
  </si>
  <si>
    <t>A3892689</t>
  </si>
  <si>
    <t>147. ALEJANDRO GOMORY MARTINEZ</t>
  </si>
  <si>
    <t>GOMA780511HYNMRL05</t>
  </si>
  <si>
    <t>CALLE 30 No. 275-A, 53 LT. x 21-B y 55, FRACC. XAMAN KAB, MÉRIDA, YUC. C.P. 97117</t>
  </si>
  <si>
    <t>agm@galletasdonde.com</t>
  </si>
  <si>
    <t>BAMD615</t>
  </si>
  <si>
    <t>F 238933</t>
  </si>
  <si>
    <t>B027958</t>
  </si>
  <si>
    <t>F 238934</t>
  </si>
  <si>
    <t>0.308" WIN</t>
  </si>
  <si>
    <t>T3</t>
  </si>
  <si>
    <t>D05200</t>
  </si>
  <si>
    <t>F 240556</t>
  </si>
  <si>
    <t>H623354L</t>
  </si>
  <si>
    <t>A 3286350</t>
  </si>
  <si>
    <t>92689F</t>
  </si>
  <si>
    <t>A 3419303</t>
  </si>
  <si>
    <t xml:space="preserve">BC008732G </t>
  </si>
  <si>
    <t>F 244773</t>
  </si>
  <si>
    <t>148. JAVIER RUZ PERAZA</t>
  </si>
  <si>
    <t>RUPJ920129HYNZRV07</t>
  </si>
  <si>
    <t>CALLE 17 No. 87 x 16 y 18, COL. MÉXICO NORTE, MÉRIDA, YUC. C.P. 97128</t>
  </si>
  <si>
    <t>javier_ruzperaza@hotmail.com</t>
  </si>
  <si>
    <t>BC008015W</t>
  </si>
  <si>
    <t>A 3419134</t>
  </si>
  <si>
    <t>17/D02120</t>
  </si>
  <si>
    <t>F 272014</t>
  </si>
  <si>
    <t>BSUM873</t>
  </si>
  <si>
    <t>A 3725149</t>
  </si>
  <si>
    <t>380 AUTO</t>
  </si>
  <si>
    <t>CZ P-10 C</t>
  </si>
  <si>
    <t>CP18165</t>
  </si>
  <si>
    <t>A 3725147</t>
  </si>
  <si>
    <r>
      <rPr>
        <sz val="13"/>
        <color theme="1"/>
        <rFont val="Arial"/>
        <family val="2"/>
      </rPr>
      <t>10/22</t>
    </r>
    <r>
      <rPr>
        <sz val="13"/>
        <color theme="0"/>
        <rFont val="Arial"/>
        <family val="2"/>
      </rPr>
      <t>..</t>
    </r>
  </si>
  <si>
    <t>0014-07080</t>
  </si>
  <si>
    <t>A 3725143</t>
  </si>
  <si>
    <t>KRISS</t>
  </si>
  <si>
    <t>DMK22C</t>
  </si>
  <si>
    <t>22C002596</t>
  </si>
  <si>
    <t>B614374</t>
  </si>
  <si>
    <t>L244003</t>
  </si>
  <si>
    <t>A 3681396</t>
  </si>
  <si>
    <t>SV10 PREVAIL III</t>
  </si>
  <si>
    <t>N50960S</t>
  </si>
  <si>
    <t>B 570641</t>
  </si>
  <si>
    <t>ARIZONA ARMORY PHOENIX AZ</t>
  </si>
  <si>
    <t>А 3500979</t>
  </si>
  <si>
    <t>149. HANS JURGEN THIES BARBACHANO</t>
  </si>
  <si>
    <t>TIBH730728HQRHRN08</t>
  </si>
  <si>
    <t>CALLE 41 No. 162 x 36-D y 38, COL. BENITO JUÁREZ NORTE, MÉRIDA, YUC. C.P. 97119</t>
  </si>
  <si>
    <t>hanstb@gmail.com</t>
  </si>
  <si>
    <t>BAME291</t>
  </si>
  <si>
    <t>F 241756</t>
  </si>
  <si>
    <t>TIKKA</t>
  </si>
  <si>
    <t>F 241775</t>
  </si>
  <si>
    <t>LANBER</t>
  </si>
  <si>
    <t>13-03-00115-06-12-70</t>
  </si>
  <si>
    <t>F 241757</t>
  </si>
  <si>
    <t>LITE</t>
  </si>
  <si>
    <t>XA153102</t>
  </si>
  <si>
    <t>F 243126</t>
  </si>
  <si>
    <t>WHITE LIGHTNING</t>
  </si>
  <si>
    <t>29868ZX</t>
  </si>
  <si>
    <t>F 243127</t>
  </si>
  <si>
    <t>BC008834N (MATRÍCULA DEL CAÑÓN CC008834N)</t>
  </si>
  <si>
    <t>F 243125</t>
  </si>
  <si>
    <t>151. DAVID HOMERO SCHOLZ MORENO</t>
  </si>
  <si>
    <t>SOMD831110HTSCRV04</t>
  </si>
  <si>
    <t>CALLE 29 No. 471 x 42 y 46-A, COL. GONZALO GUERRERO, MÉRIDA, YUC. C.P. 97118</t>
  </si>
  <si>
    <t>david_xolz@hotmail.com</t>
  </si>
  <si>
    <t>RS07304E</t>
  </si>
  <si>
    <t>B 469604</t>
  </si>
  <si>
    <t>153. JOSE GILBERTO HERNANDEZ CARRILLO</t>
  </si>
  <si>
    <t>HECG720131HYNRRL06</t>
  </si>
  <si>
    <t>CALLE 2 No. 343 x 29 y 31, COL. SALVADOR ALVARADO SUR, MÉRIDA, YUC. C.P. 97196</t>
  </si>
  <si>
    <t>josegilbertohernandezcarrillo@gmail.com</t>
  </si>
  <si>
    <t>FT 9 FS</t>
  </si>
  <si>
    <t>AA21499</t>
  </si>
  <si>
    <t>A 3287024</t>
  </si>
  <si>
    <t>157. EZEQUIEL GALVAN VAZQUEZ</t>
  </si>
  <si>
    <t>GAVE680401HTSLZZ02</t>
  </si>
  <si>
    <t>CALLE 31 No. 197 x 20 y 22, FRACC. LIMONES, MÉRIDA, YUC. C.P. 97219</t>
  </si>
  <si>
    <t>galvani@hotmail.com</t>
  </si>
  <si>
    <t>.380 ACP</t>
  </si>
  <si>
    <t>FT9FS SPORT</t>
  </si>
  <si>
    <t>AA23257</t>
  </si>
  <si>
    <t>F 263617</t>
  </si>
  <si>
    <t>161. AGUSTIN MORENO VILLALOBOS</t>
  </si>
  <si>
    <t>MOVA910904HCCRLG09</t>
  </si>
  <si>
    <t>CALLE 16 S/N x 19 y 21, CENTRO, CANDELARIA, CAMP. C.P. 24330</t>
  </si>
  <si>
    <t>BFVY996</t>
  </si>
  <si>
    <t>F 281590</t>
  </si>
  <si>
    <t>12 ga</t>
  </si>
  <si>
    <t>ELOS</t>
  </si>
  <si>
    <t>E30257</t>
  </si>
  <si>
    <t>F 281588</t>
  </si>
  <si>
    <t>85 XS</t>
  </si>
  <si>
    <t>L99245</t>
  </si>
  <si>
    <t>F 281589</t>
  </si>
  <si>
    <t>M916699V</t>
  </si>
  <si>
    <t>A 3378247</t>
  </si>
  <si>
    <t>166. RAFAEL RIVAS POLANCO</t>
  </si>
  <si>
    <t>RIPR580721HYNVLF06</t>
  </si>
  <si>
    <t>CALLE 12 No. 404-C x 15-A y 17 COL. DÍAZ ORDAZ, MÉRIDA, YUC. C.P. 97130</t>
  </si>
  <si>
    <t>rafael-rivas-p@hotmail.com</t>
  </si>
  <si>
    <t>SIG-SAUER</t>
  </si>
  <si>
    <t>P250</t>
  </si>
  <si>
    <t>57C011822</t>
  </si>
  <si>
    <t>A 3421901</t>
  </si>
  <si>
    <t>.223" REM</t>
  </si>
  <si>
    <t>BC008951L</t>
  </si>
  <si>
    <t>B 519591</t>
  </si>
  <si>
    <t>BAYP076</t>
  </si>
  <si>
    <t>B 532869</t>
  </si>
  <si>
    <t>BP052013</t>
  </si>
  <si>
    <t>B 519592</t>
  </si>
  <si>
    <t>167. ALEJANDRA GEORGINA PINTADO VILLAFAÑA</t>
  </si>
  <si>
    <t>PIVA591215MDFNLL09</t>
  </si>
  <si>
    <t>alejandrapintado@yahoo.com.mx</t>
  </si>
  <si>
    <t>57C011945</t>
  </si>
  <si>
    <t>A 3421902</t>
  </si>
  <si>
    <t>178. ANTONIO RAMÓN SANTA CRUZ POLANCO CABRALES</t>
  </si>
  <si>
    <t>SACA740719HDFNBN03</t>
  </si>
  <si>
    <t>CALLE 28 No. 168-A x 21-A y 21-B, FRACC. SAN PEDRO CHOLUL, MÉRIDA, YUC. C.P. 97138</t>
  </si>
  <si>
    <t>tonysantacruz@hotmail.com</t>
  </si>
  <si>
    <t>16 GA</t>
  </si>
  <si>
    <t>A 3607663</t>
  </si>
  <si>
    <t>179. MARCO ANTONIO SANTA CRUZ POLANCO CORDOVA</t>
  </si>
  <si>
    <t>SACM001023HYNNRRA7</t>
  </si>
  <si>
    <t>marcotonyjr@hotmail.com</t>
  </si>
  <si>
    <t>GT 380</t>
  </si>
  <si>
    <t>B 532022</t>
  </si>
  <si>
    <t>181. CHAFI XACUR RIVERA</t>
  </si>
  <si>
    <t>XACR701106HYNCVH07</t>
  </si>
  <si>
    <t>C. 19-B No. 602 x 88, FRACC. ALGARROBOS, MÉRIDA, YUC. C.P. 97300</t>
  </si>
  <si>
    <t>chafi70@hotmail.com</t>
  </si>
  <si>
    <t>BAYL030</t>
  </si>
  <si>
    <t>F 257308</t>
  </si>
  <si>
    <t>182. JUAN CARLOS MAÑE ORTIZ</t>
  </si>
  <si>
    <t>MAOJ741116HYNXRN02</t>
  </si>
  <si>
    <t>C. 59 No. 142 x 22, FRACC. VILLAS DE CONKAL, COL. CENTRO, CONKAL, YUC. C.P. 97135</t>
  </si>
  <si>
    <t>jcmaneo@hotmail.com</t>
  </si>
  <si>
    <t>18/D01314</t>
  </si>
  <si>
    <t>F 291368</t>
  </si>
  <si>
    <t>DIAMONDBACK FIREARMS</t>
  </si>
  <si>
    <t>DB380</t>
  </si>
  <si>
    <t>ZL6575</t>
  </si>
  <si>
    <t>A 3569256</t>
  </si>
  <si>
    <t>42</t>
  </si>
  <si>
    <t>BAMH608</t>
  </si>
  <si>
    <t>B 569404</t>
  </si>
  <si>
    <t>BAME106</t>
  </si>
  <si>
    <t>F 240795</t>
  </si>
  <si>
    <t>BFWB011</t>
  </si>
  <si>
    <t>A 3606621</t>
  </si>
  <si>
    <t>YAB319</t>
  </si>
  <si>
    <t>A 3606624</t>
  </si>
  <si>
    <t>CZ P-09</t>
  </si>
  <si>
    <t>AD02968</t>
  </si>
  <si>
    <t>B570891</t>
  </si>
  <si>
    <t>183. CELESTINO SÁNCHEZ FERNÁNDEZ</t>
  </si>
  <si>
    <t>SAFC680731HDFNRL07</t>
  </si>
  <si>
    <t>CALLE 20 No. 11399 x 29 y 29-B, SAN JOSE CHOLUL, MÉRIDA, YUC. C.P. 97305</t>
  </si>
  <si>
    <t>tinosanchezf@yahoo.com.mx</t>
  </si>
  <si>
    <t>1200</t>
  </si>
  <si>
    <t>L1282444</t>
  </si>
  <si>
    <t>A 3609230</t>
  </si>
  <si>
    <t>186. EDUARDO DENIS HERRERA</t>
  </si>
  <si>
    <t>DEHE890423HDFNRD03</t>
  </si>
  <si>
    <t>CALLE 23-A x 16 y 18 No. 220, COL. SAN MIGUEL, MÉRIDA, YUC. C.P. 97140</t>
  </si>
  <si>
    <t>lalodenis23@hotmail.com</t>
  </si>
  <si>
    <t>590</t>
  </si>
  <si>
    <t>P685176</t>
  </si>
  <si>
    <t>B587695</t>
  </si>
  <si>
    <t>B 570391</t>
  </si>
  <si>
    <t xml:space="preserve">RIFLE </t>
  </si>
  <si>
    <t>22/223</t>
  </si>
  <si>
    <t>DIAMONDBACK</t>
  </si>
  <si>
    <t>DB-15</t>
  </si>
  <si>
    <t>DB2198860</t>
  </si>
  <si>
    <t>A3808469</t>
  </si>
  <si>
    <t>1911</t>
  </si>
  <si>
    <t>08996N70</t>
  </si>
  <si>
    <t>B570810</t>
  </si>
  <si>
    <t>P322</t>
  </si>
  <si>
    <t>73A056618</t>
  </si>
  <si>
    <t>A3807823</t>
  </si>
  <si>
    <t>DP25088</t>
  </si>
  <si>
    <t>A3782095</t>
  </si>
  <si>
    <t>CZ P-10</t>
  </si>
  <si>
    <t>AP06654</t>
  </si>
  <si>
    <t>A3671000</t>
  </si>
  <si>
    <t>34</t>
  </si>
  <si>
    <t>JW2964</t>
  </si>
  <si>
    <t>A3758555</t>
  </si>
  <si>
    <t>188. EDUARDO JOSE ARZAMENDI MONTEJO</t>
  </si>
  <si>
    <t>AAME760820HYNRND04</t>
  </si>
  <si>
    <t>CALLE 30-A No. 502-N x 69-A y 71, COL. AZCORRA, MÉRIDA, YUC. C.P. 97177</t>
  </si>
  <si>
    <t>mayayuc3006@gmail.com</t>
  </si>
  <si>
    <t>500A</t>
  </si>
  <si>
    <t>J970360</t>
  </si>
  <si>
    <t>A 3644458</t>
  </si>
  <si>
    <t>192. RODRIGO GARCÍA ESCALANTE</t>
  </si>
  <si>
    <t>GAER870129HYNRSD09</t>
  </si>
  <si>
    <t>CALLE 13 No. 757 x 78 A, CDA. BEGONIAS, GRAN SANTA FE NORTE II, CAUCEL, YUC. C.P. 97314</t>
  </si>
  <si>
    <t>rodrigo.garcia.e@live.com.mx</t>
  </si>
  <si>
    <t>LUIGI FRANCHI</t>
  </si>
  <si>
    <t>BRESCIA</t>
  </si>
  <si>
    <t>A 377073</t>
  </si>
  <si>
    <t>M920313R</t>
  </si>
  <si>
    <t>A 3667869</t>
  </si>
  <si>
    <t>193. JULIO RETANA VILLARREAL</t>
  </si>
  <si>
    <t>REVJ510801HDGTLL01</t>
  </si>
  <si>
    <t>C. 27 No. 331 x 40 y 42 SODZIL NORTE, MÉRIDA, YUC. C.P. 97115</t>
  </si>
  <si>
    <t>jretana@live.com.mx</t>
  </si>
  <si>
    <t>STAR</t>
  </si>
  <si>
    <t>A 3670629</t>
  </si>
  <si>
    <t>887</t>
  </si>
  <si>
    <t>D547532</t>
  </si>
  <si>
    <t>A 3670631</t>
  </si>
  <si>
    <t>778</t>
  </si>
  <si>
    <t>A 3670632</t>
  </si>
  <si>
    <t>194. DAVID AZAR CÁMARA</t>
  </si>
  <si>
    <t>AACD910605HYNZMV00</t>
  </si>
  <si>
    <t>C. 12-A No. 61, SANTA GERTRUDIS COPO, MÉRIDA, YUC. C.P. 97305</t>
  </si>
  <si>
    <t>d@azarcorp.mx</t>
  </si>
  <si>
    <t>425 PN</t>
  </si>
  <si>
    <t>A 3694181</t>
  </si>
  <si>
    <t>195. ENRIQUE GAONA CASTAÑEDA</t>
  </si>
  <si>
    <t>GACE770131HDFNFN04</t>
  </si>
  <si>
    <t>C. 137 No. 1295, FRACC. DIAMANTE OPICHEN, MÉRIDA, YUC. C.P. 97249</t>
  </si>
  <si>
    <t>quiquis77@hotmail.com</t>
  </si>
  <si>
    <t>CZ-P-07</t>
  </si>
  <si>
    <t>F186568</t>
  </si>
  <si>
    <t>A 3718153</t>
  </si>
  <si>
    <t>196. ARMANDO PARDIÑAZ ALCANTARA</t>
  </si>
  <si>
    <t>PAAA710213HDFRLR07</t>
  </si>
  <si>
    <t>C. 29 No. 216 x 4 y 6, SANTA MARIA CHI, MÉRIDA, YUC. C.P.97306</t>
  </si>
  <si>
    <t>armando.pard@gmail.com</t>
  </si>
  <si>
    <t>BDA-380</t>
  </si>
  <si>
    <t>425PZ06059</t>
  </si>
  <si>
    <t>B 564622</t>
  </si>
  <si>
    <t>199. JOAQUIN RODOLFO GARDONI NUÑEZ</t>
  </si>
  <si>
    <t>GANJ7408O7HDFRXQ04</t>
  </si>
  <si>
    <t>AUSTRAL No. 35, KM. 15.5, FRACC. COMPOSTELA XCANATUN, CONKAL, YUC. C.P. 97345</t>
  </si>
  <si>
    <t>jrgardoni@gmail.com</t>
  </si>
  <si>
    <t>GRAND POWER</t>
  </si>
  <si>
    <t>P380</t>
  </si>
  <si>
    <t>K084328</t>
  </si>
  <si>
    <t>A3714371</t>
  </si>
  <si>
    <t>LP380</t>
  </si>
  <si>
    <t>K078999</t>
  </si>
  <si>
    <t>A 3601943</t>
  </si>
  <si>
    <t>K22 X-TRIM</t>
  </si>
  <si>
    <t>K078928</t>
  </si>
  <si>
    <t>A 3601944</t>
  </si>
  <si>
    <t>DP25086</t>
  </si>
  <si>
    <t>A 3782099</t>
  </si>
  <si>
    <t>DP25246</t>
  </si>
  <si>
    <t>A 3792515</t>
  </si>
  <si>
    <t>10/22</t>
  </si>
  <si>
    <t>0008-32069</t>
  </si>
  <si>
    <t>A 3722288</t>
  </si>
  <si>
    <t>0013-82505</t>
  </si>
  <si>
    <t>A 3605099</t>
  </si>
  <si>
    <t>22C002369</t>
  </si>
  <si>
    <t>200. J. JESÚS VALENCIA ROJAS</t>
  </si>
  <si>
    <t>VARJ861111HMNLJS03</t>
  </si>
  <si>
    <t>C. 26 S/N x 53 y 55, TEKAX DE ALVARO OBREGON, TEKAX, YUC. C.P. 97970</t>
  </si>
  <si>
    <t>valenciarojasjjesus@gmail.com</t>
  </si>
  <si>
    <t>LLAMA</t>
  </si>
  <si>
    <t>A88396</t>
  </si>
  <si>
    <t>A 3758538</t>
  </si>
  <si>
    <t>BUCK MARK</t>
  </si>
  <si>
    <t>655RR11851</t>
  </si>
  <si>
    <t>A 3758539</t>
  </si>
  <si>
    <t>BC003839</t>
  </si>
  <si>
    <t>A 3761192</t>
  </si>
  <si>
    <t>201. BRAYER KERMITH VERDE CHIN</t>
  </si>
  <si>
    <t>VECB750917HYNRHR03</t>
  </si>
  <si>
    <t>C. 18-A x 31-D y 35, COL. NUEVA ALEMÁN, MÉRIDA, YUC. C.P. 97146</t>
  </si>
  <si>
    <t>brayerbyv@gmail.com</t>
  </si>
  <si>
    <t>11-87 SPORTSMAN</t>
  </si>
  <si>
    <t>RS93764K</t>
  </si>
  <si>
    <t>B 347235</t>
  </si>
  <si>
    <t>ZBROJOVKA BRNO</t>
  </si>
  <si>
    <t>AZKW</t>
  </si>
  <si>
    <t>B 404869</t>
  </si>
  <si>
    <t>0.410"</t>
  </si>
  <si>
    <t>775ND</t>
  </si>
  <si>
    <t>A 3420280</t>
  </si>
  <si>
    <t>RIFE</t>
  </si>
  <si>
    <t>WEATHERBY</t>
  </si>
  <si>
    <t>VANGUARD</t>
  </si>
  <si>
    <t>VB181028</t>
  </si>
  <si>
    <t>B 539965</t>
  </si>
  <si>
    <t>202. ROGER IRÁN MÉNDEZ CARRILLO</t>
  </si>
  <si>
    <t xml:space="preserve"> MECR871030HYNNRG05</t>
  </si>
  <si>
    <t>C. 22C # 247 X 19, FRACC. ALTABRISA, CP 97130, MÉRIDA, YUCATÁN</t>
  </si>
  <si>
    <t>rafle_30@hotmail.com</t>
  </si>
  <si>
    <t>6K66706</t>
  </si>
  <si>
    <t>A3658419</t>
  </si>
  <si>
    <t>SEARS</t>
  </si>
  <si>
    <t>3T</t>
  </si>
  <si>
    <t>H347416</t>
  </si>
  <si>
    <t>A3557894</t>
  </si>
  <si>
    <t>W061106</t>
  </si>
  <si>
    <t>B546460</t>
  </si>
  <si>
    <t>311</t>
  </si>
  <si>
    <t>C284992</t>
  </si>
  <si>
    <t>A3555955</t>
  </si>
  <si>
    <t>79</t>
  </si>
  <si>
    <t>D040153</t>
  </si>
  <si>
    <t>A3557896</t>
  </si>
  <si>
    <t>203. MANUEL JESÚS TZAB CHUC</t>
  </si>
  <si>
    <t>TACM750410HYNZHN05</t>
  </si>
  <si>
    <t>C. 103 # 624 X 142 Y 144, FRACC. LOS HEROES. MÉRIDA, YUCATÁN. CP 97306</t>
  </si>
  <si>
    <t>mjtzab@yahoo.com</t>
  </si>
  <si>
    <t>ESCOPETA SEMIAUTOMATICA</t>
  </si>
  <si>
    <t>AF0056147</t>
  </si>
  <si>
    <t>A3771503</t>
  </si>
  <si>
    <t>SA-20</t>
  </si>
  <si>
    <t>KA39879</t>
  </si>
  <si>
    <t>A3771504</t>
  </si>
  <si>
    <t>73A076600</t>
  </si>
  <si>
    <t>A3788078</t>
  </si>
  <si>
    <t>204. ARIEL ANTONIO PAREDES CETINA</t>
  </si>
  <si>
    <t>PACA840803HYNRTR08</t>
  </si>
  <si>
    <t>CALLE 129 NO. 584 X 138 Y 140
FRACC LOS HEROES
MÉRIDA, YUCATÁN CP 97306</t>
  </si>
  <si>
    <t>lic.arielparedescetina@hotmail.com</t>
  </si>
  <si>
    <t>FP39978</t>
  </si>
  <si>
    <t>A3897242</t>
  </si>
  <si>
    <t>FP39973</t>
  </si>
  <si>
    <t>A3897243</t>
  </si>
  <si>
    <t>EP29318</t>
  </si>
  <si>
    <t>A3897245</t>
  </si>
  <si>
    <t>205. RICARDO ERNESTO CASTILLO MANCERA</t>
  </si>
  <si>
    <t>CAMR840315HYNSNC08</t>
  </si>
  <si>
    <t>CARR MÉRIDA PROGRESO KM 10.5 
TABLAJE 19153, TEMOZON NTE 
C.P. 97300. MÉRIDA, YUC.</t>
  </si>
  <si>
    <t>dr.ricardocastillo@me.com</t>
  </si>
  <si>
    <t>EP34718</t>
  </si>
  <si>
    <t>A3880033</t>
  </si>
  <si>
    <t>CZ 457</t>
  </si>
  <si>
    <t>H228675</t>
  </si>
  <si>
    <t>A3880038</t>
  </si>
  <si>
    <t>206. EDGARDO RAUL GÓMEZ ARZAMENDI</t>
  </si>
  <si>
    <t>GOAE840623HYNMRD00</t>
  </si>
  <si>
    <t>CALLE 7 NO 567 X 66 Y 68, PENSIONES, MÉRIDA, YUCATÁN, MÉXICO</t>
  </si>
  <si>
    <t>cpedgardo_gomez@hotmail.com</t>
  </si>
  <si>
    <t>209. MARIA DOLORES DAVIS BETANZOS</t>
  </si>
  <si>
    <t>DABD900923MDFVTL03</t>
  </si>
  <si>
    <t>TABLAJE 13037 DEPTO, 19 GRAND VIEW 6 Y 8
CHOLUL, MÉRIDA, YUCATÁN, C.P. 97305</t>
  </si>
  <si>
    <t>lolita@concepthaus.mx</t>
  </si>
  <si>
    <t>RIFLE DE REPETICIÓN</t>
  </si>
  <si>
    <t>25-35</t>
  </si>
  <si>
    <t>1894</t>
  </si>
  <si>
    <t>B612055</t>
  </si>
  <si>
    <t>GOVERNMENT</t>
  </si>
  <si>
    <t>70S22023</t>
  </si>
  <si>
    <t>B612056</t>
  </si>
  <si>
    <t>RIFLE SEMI-AUTOM ÁTICO</t>
  </si>
  <si>
    <t>552</t>
  </si>
  <si>
    <t>A1790332</t>
  </si>
  <si>
    <t>B612057</t>
  </si>
  <si>
    <t>ESCOPETA DOS CAÑONES</t>
  </si>
  <si>
    <t>N/A</t>
  </si>
  <si>
    <t>B612058</t>
  </si>
  <si>
    <t>.243" WIN</t>
  </si>
  <si>
    <t>C347639</t>
  </si>
  <si>
    <t>B612060</t>
  </si>
  <si>
    <t>210. SANTIAGO LAMAS RINGENBACH</t>
  </si>
  <si>
    <t>LARS970906HYNMNN09</t>
  </si>
  <si>
    <t>CALLE 22 X 15 # 94-A 
CHOLUL, MÉRIDA, YUCATÁN, CP 97305</t>
  </si>
  <si>
    <t>santiago100100@hotmail.com</t>
  </si>
  <si>
    <t>MAX 5</t>
  </si>
  <si>
    <t>16/D09919</t>
  </si>
  <si>
    <t>B 613229</t>
  </si>
  <si>
    <t>10847MN</t>
  </si>
  <si>
    <t>B 613225</t>
  </si>
  <si>
    <t>115ZM17757</t>
  </si>
  <si>
    <t>B 613228</t>
  </si>
  <si>
    <t>FUSION EVOLVE</t>
  </si>
  <si>
    <t>113MP16287</t>
  </si>
  <si>
    <t>B 613227</t>
  </si>
  <si>
    <t>SILVER HUNTER</t>
  </si>
  <si>
    <t>114ZM05238</t>
  </si>
  <si>
    <t>B 613226</t>
  </si>
  <si>
    <t>WOODSMAN</t>
  </si>
  <si>
    <t>32288-S</t>
  </si>
  <si>
    <t>B 612475</t>
  </si>
  <si>
    <t>211. ERNESTO GONZALEZ PICCOLO</t>
  </si>
  <si>
    <t>GOPE850306HDFNCR03</t>
  </si>
  <si>
    <t>C 40 POR 67 Y 69 234
COL MONTES DE AME. MÉRIDA, YUC. CP 97115</t>
  </si>
  <si>
    <t>egpiccolo@gmail.com</t>
  </si>
  <si>
    <t>A 3862440</t>
  </si>
  <si>
    <t>SPR310</t>
  </si>
  <si>
    <t xml:space="preserve">06277749  R </t>
  </si>
  <si>
    <t>B 613230</t>
  </si>
  <si>
    <t>108664PT153</t>
  </si>
  <si>
    <t>B612059</t>
  </si>
  <si>
    <t>212. MARIA FERNANDA GUADALUPE ARECHIGA RAMOS</t>
  </si>
  <si>
    <t>AERF781023MDFRMR09</t>
  </si>
  <si>
    <t>TABLAJE 15687 LOTE 35 COMPOSTELA, 
XCANATUN, MÉRIDA, YUCATÁN</t>
  </si>
  <si>
    <t>arechiga@jogarplastics.com</t>
  </si>
  <si>
    <t>214. GERARDO ANTONIO FERNÁNDEZ QUIJANO</t>
  </si>
  <si>
    <t>FEQG630819HCCRJR06</t>
  </si>
  <si>
    <t>Circuito Pablo García Oeste # 2, esquina con Eduardo Lavalle. 
Ciudad Concordia. 
Campeche, Campeche. 24085.</t>
  </si>
  <si>
    <t>gfernandez63@gmail.com</t>
  </si>
  <si>
    <t>0.380" ACP.</t>
  </si>
  <si>
    <t>ROXOR</t>
  </si>
  <si>
    <t>K078901</t>
  </si>
  <si>
    <t>B 612621</t>
  </si>
  <si>
    <t>215. RICARDO ALBERTO DESQUENS BONILLA</t>
  </si>
  <si>
    <t>DEBR700911HDFSNC06</t>
  </si>
  <si>
    <t>Calle 51-C # 643 x 72 y 72-A, Real Montejo, MÉRIDA, YUCATÁN CP 97302</t>
  </si>
  <si>
    <t>ridesquens@yahoo.com.mx</t>
  </si>
  <si>
    <t>EP35129</t>
  </si>
  <si>
    <t>A3888058</t>
  </si>
  <si>
    <t>C Z P-10 C</t>
  </si>
  <si>
    <t>FP45007</t>
  </si>
  <si>
    <t>A3928748</t>
  </si>
  <si>
    <t>.22 LR</t>
  </si>
  <si>
    <t>73A191658</t>
  </si>
  <si>
    <t>A3928749</t>
  </si>
  <si>
    <t>RIFLE SEMI-AUTOMÁTICO</t>
  </si>
  <si>
    <t xml:space="preserve">.22" </t>
  </si>
  <si>
    <t>RM2403464</t>
  </si>
  <si>
    <t>A3888060</t>
  </si>
  <si>
    <t>‭0027-45533‬</t>
  </si>
  <si>
    <t>A3928750</t>
  </si>
  <si>
    <t>ESCOPETA UN CAÑON CON SISTEMA DE BOMBA</t>
  </si>
  <si>
    <t>RETAY</t>
  </si>
  <si>
    <t>GPSX</t>
  </si>
  <si>
    <t>73-H24PT-000150</t>
  </si>
  <si>
    <t>A3888062</t>
  </si>
  <si>
    <t>216. SERGIO FERNANDO MARTINEZ AGUILAR</t>
  </si>
  <si>
    <t>MAAS720901HCCRGR07</t>
  </si>
  <si>
    <t>Calle 74 No. 629 x 37-A y 39, Fracc. Jardines de Caucel, MÉRIDA, Yuc. CP 97314</t>
  </si>
  <si>
    <t>martinezasergio@hotmail.com</t>
  </si>
  <si>
    <t>FP45008</t>
  </si>
  <si>
    <t>A3928754</t>
  </si>
  <si>
    <t>BUCKMARK CONTOUR</t>
  </si>
  <si>
    <t>US515YV02463</t>
  </si>
  <si>
    <t>A3928755</t>
  </si>
  <si>
    <t>GORDION</t>
  </si>
  <si>
    <t>73-H21YT-002866</t>
  </si>
  <si>
    <t>A3928753</t>
  </si>
  <si>
    <t>217. ALEJANDRO OLIVER ROBERT EASTMOND</t>
  </si>
  <si>
    <t>ROEA841021HYNBSL09</t>
  </si>
  <si>
    <t>Calle 20A Núm 407 x 33 y 35.
Colonia Nueva Alemán
C.P. 97145 MÉRIDA, Yuc.</t>
  </si>
  <si>
    <t>arobert01@protonmail.com</t>
  </si>
  <si>
    <t>FRANCHI</t>
  </si>
  <si>
    <t>BARRAGE SPORTING</t>
  </si>
  <si>
    <t>S004083S</t>
  </si>
  <si>
    <t>B575399</t>
  </si>
  <si>
    <t>NATERAS</t>
  </si>
  <si>
    <t>L 3026227</t>
  </si>
  <si>
    <t>B575731</t>
  </si>
  <si>
    <t>0.380" ACP</t>
  </si>
  <si>
    <t>BAYK183</t>
  </si>
  <si>
    <t xml:space="preserve">B631118                            </t>
  </si>
  <si>
    <t>218. JUAN CARLOS RAMIREZ GOMEZ</t>
  </si>
  <si>
    <t>RAGJ831020HDFMMN08</t>
  </si>
  <si>
    <t>C. 81 112-2, Temozon Norte, 97302 MÉRIDA, Yuc.</t>
  </si>
  <si>
    <t>olga.garcia@mayaseguridad.mx</t>
  </si>
  <si>
    <t>BAMD268</t>
  </si>
  <si>
    <t>F 243199</t>
  </si>
  <si>
    <t>219. GADDI OTHONIEL CAAMAL PUC</t>
  </si>
  <si>
    <t>CAPG891110HYNMCD00</t>
  </si>
  <si>
    <t>CALLE 9 NÚM 681 X 74A y 74D, Cerrada Las Dalias, Gran Santa Fe, MÉRIDA, YUCATÁN. CP 97314</t>
  </si>
  <si>
    <t>gocaamal@hotmail.com</t>
  </si>
  <si>
    <t>220. GUIDO RENY CUEVAS ABRAHAM</t>
  </si>
  <si>
    <t>CUAG750301HYNVBD00</t>
  </si>
  <si>
    <t>Calle 15 NÚM 314 x 32 y 34 Montecarlo, MÉRIDA, Yucatán, CP 97130</t>
  </si>
  <si>
    <t>guidorcuevasabraham@gmail.com</t>
  </si>
  <si>
    <t>CENT504</t>
  </si>
  <si>
    <t>A3897403</t>
  </si>
  <si>
    <t>CCXC253</t>
  </si>
  <si>
    <t>A3897404</t>
  </si>
  <si>
    <t>221. SANTIAGO RUEDA ESCOBEDO</t>
  </si>
  <si>
    <t>RUES971109HCCDSN07</t>
  </si>
  <si>
    <t>C. 65 87, Col. Justo Sierra, 24114 Ciudad del Carmen, Campeche</t>
  </si>
  <si>
    <t>santiagorueda2@gmail.com</t>
  </si>
  <si>
    <t>222. IVAN TSUIS CABO TORRES</t>
  </si>
  <si>
    <t>CATI771216HNEBRV03</t>
  </si>
  <si>
    <t>C. 43 322 X 36 Y 36A, San Ramón Norte, 97117 MÉRIDA, Yucatán</t>
  </si>
  <si>
    <t>ivancabo@gmail.com</t>
  </si>
  <si>
    <t>DP23540</t>
  </si>
  <si>
    <t>A3779516</t>
  </si>
  <si>
    <t>BUCK</t>
  </si>
  <si>
    <t>US515YY19935</t>
  </si>
  <si>
    <t>A3779515</t>
  </si>
  <si>
    <t>A3779518</t>
  </si>
  <si>
    <t>223. JESUS ALEJANDRO PUC SOSA</t>
  </si>
  <si>
    <t>PUSJ000131HYNCSSA4</t>
  </si>
  <si>
    <t>C. 53 entre 58 y 60 NÚM. 425, Centro, 97700, Tizimín, Yucatán</t>
  </si>
  <si>
    <t>alejandro18sosa@gmail.com</t>
  </si>
  <si>
    <t>224. JOSE GIL HEREDIA HAGAR</t>
  </si>
  <si>
    <t>HEHG860310HYNRGL05</t>
  </si>
  <si>
    <t>C. 46 480 X 33 Y 31 A, COL. NUEVA YUCATAN, CP 97147, MERIDA, YUCATAN</t>
  </si>
  <si>
    <t>999 900 1366</t>
  </si>
  <si>
    <t>jgheredia@hotmail.com</t>
  </si>
  <si>
    <t>K22</t>
  </si>
  <si>
    <t>K084513</t>
  </si>
  <si>
    <t>A3725153</t>
  </si>
  <si>
    <t>DP25316</t>
  </si>
  <si>
    <t>A3793354</t>
  </si>
  <si>
    <t>DP25317</t>
  </si>
  <si>
    <t>A3793355</t>
  </si>
  <si>
    <t>66F398918</t>
  </si>
  <si>
    <t>A3793356</t>
  </si>
  <si>
    <t>BLCC322</t>
  </si>
  <si>
    <t>A3586249</t>
  </si>
  <si>
    <t>H&amp;R</t>
  </si>
  <si>
    <t>929</t>
  </si>
  <si>
    <t>AG11090</t>
  </si>
  <si>
    <t>A3422000</t>
  </si>
  <si>
    <t>RIFLE SEMI-AUTOMATICO</t>
  </si>
  <si>
    <t>CHIAPPA FIREARMS</t>
  </si>
  <si>
    <t>MFOUR-22</t>
  </si>
  <si>
    <t>19A00758</t>
  </si>
  <si>
    <t>A3586246</t>
  </si>
  <si>
    <t>225. SANTIAGO ALEJANDRO QUINTAL PAREDES</t>
  </si>
  <si>
    <t>QUPS901102HYNNRN04</t>
  </si>
  <si>
    <t>CALLE 14 SIN NUMERO
CHOCHOLA, YUCATAN
CP 97816, YUCATAN</t>
  </si>
  <si>
    <t>squintal158@gmail.com</t>
  </si>
  <si>
    <t>FP41102</t>
  </si>
  <si>
    <t>A3916933</t>
  </si>
  <si>
    <t>CZ 457 MTR</t>
  </si>
  <si>
    <t>J002602</t>
  </si>
  <si>
    <t>A3916936</t>
  </si>
  <si>
    <t>BREDA</t>
  </si>
  <si>
    <t>TITANIO</t>
  </si>
  <si>
    <t>BA 12657</t>
  </si>
  <si>
    <t>A3916935</t>
  </si>
  <si>
    <t>226. ARIEL BALTAZAR CÓRDOBA WILSON</t>
  </si>
  <si>
    <t>COWA700106TSRLR00</t>
  </si>
  <si>
    <t>C. 5-A DIAGONAL 239 X 18 Y 20, COL. JUAN B. SOSA, MERIDA, YUCATÁN, 97205</t>
  </si>
  <si>
    <t>atietzbabam@gmail.com</t>
  </si>
  <si>
    <t>RIFLE SEMI AUTOMATICO</t>
  </si>
  <si>
    <t>A3848750</t>
  </si>
  <si>
    <t>BC013587R</t>
  </si>
  <si>
    <t>A3853877</t>
  </si>
  <si>
    <t>BC013586P</t>
  </si>
  <si>
    <t>A3853878</t>
  </si>
  <si>
    <t>MASAY MARA</t>
  </si>
  <si>
    <t>73-H23YT-005654</t>
  </si>
  <si>
    <t>BERSA</t>
  </si>
  <si>
    <t>THUNDER 380 COMBAT</t>
  </si>
  <si>
    <t>M58492</t>
  </si>
  <si>
    <t>A3832011</t>
  </si>
  <si>
    <t>UGL153</t>
  </si>
  <si>
    <t>A3267256</t>
  </si>
  <si>
    <t>K102854</t>
  </si>
  <si>
    <t>A385379</t>
  </si>
  <si>
    <t>227. KRISZTIAN GOR</t>
  </si>
  <si>
    <t>GOXK740906HNERXR09</t>
  </si>
  <si>
    <t>Calle 35 SN INT. townhouse Temozón Norte, Mérida Yucatán 97302</t>
  </si>
  <si>
    <t>+13213470270</t>
  </si>
  <si>
    <t>ttok09136@gmail.com</t>
  </si>
  <si>
    <t>228. FABIAN MARQUEZ ORTEGA</t>
  </si>
  <si>
    <t>MAOF620504HDFRRB06</t>
  </si>
  <si>
    <t>Calle 28 x 5 y 7 48-A Col Granjas Cholul, CP 97305, Merida, Yucatan</t>
  </si>
  <si>
    <t>fabian.sievers3548@gmail.com</t>
  </si>
  <si>
    <t>US515YW33488</t>
  </si>
  <si>
    <t>A3916213</t>
  </si>
  <si>
    <t>457 PREMIUM</t>
  </si>
  <si>
    <t>J011779</t>
  </si>
  <si>
    <t>A3916216</t>
  </si>
  <si>
    <t>EP29797</t>
  </si>
  <si>
    <t>A3916211</t>
  </si>
  <si>
    <t>229. DANIEL DE JESUS PADILLA ROBLES</t>
  </si>
  <si>
    <t>PARD850710HCCDBN05</t>
  </si>
  <si>
    <t xml:space="preserve">Calle Tzolkin Num 48, Privada Kinish, Cholul, Merida, Yucatan, CP 97305 </t>
  </si>
  <si>
    <t>padilla_079@hotmail.com</t>
  </si>
  <si>
    <t>DETECTIVE</t>
  </si>
  <si>
    <t>C02127</t>
  </si>
  <si>
    <t>B624330</t>
  </si>
  <si>
    <t>AP08758</t>
  </si>
  <si>
    <t>B587694</t>
  </si>
  <si>
    <t>EP29734</t>
  </si>
  <si>
    <t>A3912448</t>
  </si>
  <si>
    <t>CZ P-07</t>
  </si>
  <si>
    <t>F187917</t>
  </si>
  <si>
    <t>B625008</t>
  </si>
  <si>
    <t>ARMSAN</t>
  </si>
  <si>
    <t>P612</t>
  </si>
  <si>
    <t>59-H25PT-000026</t>
  </si>
  <si>
    <t>A3912450</t>
  </si>
  <si>
    <t>RM22-1000 CENTENARIO</t>
  </si>
  <si>
    <t>RM2515680</t>
  </si>
  <si>
    <t>A3912449</t>
  </si>
  <si>
    <t>230. RICARDO ANTONIO SOBERANIS GAMBOA</t>
  </si>
  <si>
    <t>SOGR701015HYNBMC04</t>
  </si>
  <si>
    <t>Calle 23 S/N, T.C. 50641, Colonia San Antonio Hool, CP 97302, Mérida, Yucatán</t>
  </si>
  <si>
    <t>rsoberanis11@hotmail.com</t>
  </si>
  <si>
    <t>22" L.R.</t>
  </si>
  <si>
    <t>73A05683</t>
  </si>
  <si>
    <t>A3845138</t>
  </si>
  <si>
    <t>B624593</t>
  </si>
  <si>
    <t>ESCOPETA DOS CAÑONES</t>
  </si>
  <si>
    <t>J.B. RONGE FILF A LIEGE</t>
  </si>
  <si>
    <t>B624607</t>
  </si>
  <si>
    <t>231. RAÚL CERVANTES CEBALLOS</t>
  </si>
  <si>
    <t>CECR890104HYNRBL02</t>
  </si>
  <si>
    <t>C 13 POR 62 Y 64 655
RESIDENCIAL PENSIONES 97219
MERIDA, YUC.</t>
  </si>
  <si>
    <t>rcervantes@live.com.mx</t>
  </si>
  <si>
    <t>232. RICARDO DANIEL FERNÁNDEZ PÉREZ</t>
  </si>
  <si>
    <t>FEPR920403HYNRRC06</t>
  </si>
  <si>
    <t>C. 37-A # 311 X 24 FRACC. MONTEALBAN
MERIDA, YUCATAN, CP 97114</t>
  </si>
  <si>
    <t>999 163 9981</t>
  </si>
  <si>
    <t xml:space="preserve">233. RICARDO MANUEL FERNÁNDEZ QUIJANO
</t>
  </si>
  <si>
    <t>FEQR591020HCCRJC07</t>
  </si>
  <si>
    <t>999 947 3043</t>
  </si>
  <si>
    <t>richfer1020@gmail.com</t>
  </si>
  <si>
    <t>UDV639</t>
  </si>
  <si>
    <t>B347208</t>
  </si>
  <si>
    <t>234. YAEL ROMERO DE DIOS</t>
  </si>
  <si>
    <t>RODY940625HYNMSL01</t>
  </si>
  <si>
    <t>Calle 111 No 514 x 132 y 134A Fraccionamiento los Héroes. 
Mérida, Yucatán</t>
  </si>
  <si>
    <t>999 528 7779</t>
  </si>
  <si>
    <t>licyaelromero@gmail.com</t>
  </si>
  <si>
    <t>235. AIMEE GOMEZ MENDOZA</t>
  </si>
  <si>
    <t>GOMA940118MVZMNM00</t>
  </si>
  <si>
    <t>C 63 D POR 88 TAB 42155
LOC DZITYA 97302
MERIDA, YUC.</t>
  </si>
  <si>
    <t>999 730 0081</t>
  </si>
  <si>
    <t>aimeegomez615@gmail.com</t>
  </si>
  <si>
    <t>No. DE REGISTRO</t>
  </si>
  <si>
    <t>NOMBRE SOCIO</t>
  </si>
  <si>
    <t>No. DE SOCIO</t>
  </si>
  <si>
    <t>FECHA ALTA</t>
  </si>
  <si>
    <t>RICARDO JESUS FERNANDEZ Y GASQUE</t>
  </si>
  <si>
    <t>JOSE JACINTO LIZARRAGA AVILA</t>
  </si>
  <si>
    <t>ADOLFO XACUR RIVERA</t>
  </si>
  <si>
    <t>REMIGIO BEETHOVEN AGUILAR CANTO</t>
  </si>
  <si>
    <t>MANUEL JESUS CHAIDEZ PALACIOS</t>
  </si>
  <si>
    <t>PAULINO EDILBERTO MONFORTE TRAVA</t>
  </si>
  <si>
    <t>RIGOMAR HINOJOSA SHIELDS</t>
  </si>
  <si>
    <t>JUAN CARLOS JORDAN LOPEZ</t>
  </si>
  <si>
    <t>JORGE ALFREDO DAWN MEDINA</t>
  </si>
  <si>
    <t>SERGIO SANTINELLI GRAJALES</t>
  </si>
  <si>
    <t>CLAUDIO MAURICIO CANAVATI FARAH</t>
  </si>
  <si>
    <t>ALEJANDRO FRANCISCO RIVAS PINTADO</t>
  </si>
  <si>
    <t>JOSE VICENTE TRUJILLO LUCIC</t>
  </si>
  <si>
    <t>EDGAR EDILBERTO MONFORTE ESCOBEDO</t>
  </si>
  <si>
    <t>JUAN CARLOS BRICEÑO GONZALEZ</t>
  </si>
  <si>
    <t>CARLOS ANTONIO GRANJA PEREZ</t>
  </si>
  <si>
    <t>ROBERTO JOSE MADAHUAR BOEHM</t>
  </si>
  <si>
    <t>HUGO MARTINEZ HERNANDEZ</t>
  </si>
  <si>
    <t>JOSE HIPOLITO BARRERA AKE</t>
  </si>
  <si>
    <t>ALEJANDRO JAVIER GARCIA GAMBOA</t>
  </si>
  <si>
    <t>SERGIO MUÑOZ DE ALBA MEDRANO</t>
  </si>
  <si>
    <t>ALEJANDRO GOMORY MARTINEZ</t>
  </si>
  <si>
    <t>JAVIER RUZ PERAZA</t>
  </si>
  <si>
    <t>HANS JURGEN THIES BARBACHANO</t>
  </si>
  <si>
    <t>DAVID HOMERO SCHOLZ MORENO</t>
  </si>
  <si>
    <t>JOSE GILBERTO HERNANDEZ CARRILLO</t>
  </si>
  <si>
    <t>EZEQUIEL GALVAN VAZQUEZ</t>
  </si>
  <si>
    <t>AGUSTIN MORENO VILLALOBOS</t>
  </si>
  <si>
    <t>RAFAEL RIVAS POLANCO</t>
  </si>
  <si>
    <t>ALEJANDRA GEORGINA PINTADO VILLAFAÑA</t>
  </si>
  <si>
    <t>ANTONIO RAMON SANTA CRUZ POLANCO CABRALES</t>
  </si>
  <si>
    <t>MARCO ANTONIO SANTA CRUZ POLANCO CORDOVA</t>
  </si>
  <si>
    <t>CHAFI XACUR RIVERA</t>
  </si>
  <si>
    <t>JUAN CARLOS MAÑE ORTIZ</t>
  </si>
  <si>
    <t>CELESTINO SANCHEZ FERNANDEZ</t>
  </si>
  <si>
    <t>EDUARDO DENIS HERRERA</t>
  </si>
  <si>
    <t>EDUARDO JOSE ARZAMENDI MONTEJO</t>
  </si>
  <si>
    <t>RODRIGO GARCIA ESCALANTE</t>
  </si>
  <si>
    <t>JULIO RETANA VILLARREAL</t>
  </si>
  <si>
    <t>DAVID AZAR CAMARA</t>
  </si>
  <si>
    <t>ENRIQUE GAONA CASTAÑEDA</t>
  </si>
  <si>
    <t>ARMANDO PARDIÑAZ ALCANTARA</t>
  </si>
  <si>
    <t>JOAQUIN RODOLFO GARDONI NUÑEZ</t>
  </si>
  <si>
    <t>J. JESÚS VALENCIA ROJAS</t>
  </si>
  <si>
    <t>BRAYER KERMITH VERDE CHIN</t>
  </si>
  <si>
    <t>ROGER IRÁN MÉNDEZ CARRILLO</t>
  </si>
  <si>
    <t>MANUEL JESUS TZAB CHUC</t>
  </si>
  <si>
    <t>ARIEL ANTONIO PAREDES CETINA</t>
  </si>
  <si>
    <t>RICARDO ERNESTO CASTILLO MANCERA</t>
  </si>
  <si>
    <t>EDGARDO RAUL GÓMEZ ARZAMENDI</t>
  </si>
  <si>
    <t>MARIA DOLORES DAVIS BETANZOS</t>
  </si>
  <si>
    <t>SANTIAGO LAMAS RINGENBACH</t>
  </si>
  <si>
    <t>ERNESTO GONZALEZ PICCOLO</t>
  </si>
  <si>
    <t>MARIA FERNANDA GUADALUPE ARECHIGA RAMOS</t>
  </si>
  <si>
    <t>GERARDO ANTONIO FERNÁNDEZ QUIJANO</t>
  </si>
  <si>
    <t>RICARDO ALBERTO DESQUENS BONILLA</t>
  </si>
  <si>
    <t>SERGIO FERNANDO MARTINEZ AGUILAR</t>
  </si>
  <si>
    <t>ALEJANDRO OLIVER ROBERT EASTMOND</t>
  </si>
  <si>
    <t>JUAN CARLOS RAMIREZ GOMEZ</t>
  </si>
  <si>
    <t>GADDI OTHONIEL CAAMAL PUC</t>
  </si>
  <si>
    <t>GUIDO RENY CUEVAS ABRAHAM</t>
  </si>
  <si>
    <t>SANTIAGO RUEDA ESCOBEDO</t>
  </si>
  <si>
    <t>IVAN TSUIS CABO TORRES</t>
  </si>
  <si>
    <t>JESUS ALEJANDRO PUC SOSA</t>
  </si>
  <si>
    <t>JOSE GIL HEREDIA HAGAR</t>
  </si>
  <si>
    <t>SANTIAGO ALEJANDRO QUINTAL PARDES</t>
  </si>
  <si>
    <t>ARIEL BALTAZAR CÓRDOBA WILSON</t>
  </si>
  <si>
    <t>KRISZTIAN GOR</t>
  </si>
  <si>
    <t>FABIAN MARQUEZ ORTEGA</t>
  </si>
  <si>
    <t>DANIEL DE JESUS PADILLA ROBLES</t>
  </si>
  <si>
    <t>RICARDO ANTONIO SOBERANIS GAMBOA</t>
  </si>
  <si>
    <t>RAÚL CERVANTES CEBALLOS</t>
  </si>
  <si>
    <t>RICARDO DANIEL FERNÁNDEZ PÉREZ</t>
  </si>
  <si>
    <t>richfer0304@gmail.com</t>
  </si>
  <si>
    <t>RICARDO MANUEL FERNÁNDEZ QUIJANO</t>
  </si>
  <si>
    <t>YAEL ROMERO DE DIOS</t>
  </si>
  <si>
    <t>AIMEE GOMEZ MENDOZA</t>
  </si>
  <si>
    <t>fecha_de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</si>
</sst>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73" formatCode="[$-80A]d&quot; de &quot;mmmm&quot; de &quot;yyyy;@"/>
  </numFmts>
  <fonts count="12" x14ac:knownFonts="1">
    <font>
      <sz val="11"/>
      <color theme="1"/>
      <name val="Calibri"/>
      <scheme val="minor"/>
    </font>
    <font>
      <sz val="13"/>
      <color theme="1"/>
      <name val="Arial"/>
      <family val="2"/>
    </font>
    <font>
      <b/>
      <sz val="13"/>
      <color theme="1"/>
      <name val="Arial Narrow"/>
      <family val="2"/>
    </font>
    <font>
      <sz val="13"/>
      <color theme="1"/>
      <name val="Arial Narrow"/>
      <family val="2"/>
    </font>
    <font>
      <b/>
      <sz val="13"/>
      <color rgb="FFFF0000"/>
      <name val="Arial"/>
      <family val="2"/>
    </font>
    <font>
      <sz val="13"/>
      <color rgb="FF000000"/>
      <name val="Arial"/>
      <family val="2"/>
    </font>
    <font>
      <sz val="11"/>
      <color theme="1"/>
      <name val="Arial"/>
      <family val="2"/>
    </font>
    <font>
      <sz val="13"/>
      <color theme="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Montserrat"/>
    </font>
    <font>
      <sz val="10"/>
      <color rgb="FF000000"/>
      <name val="Montserra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9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1" xfId="1" applyBorder="1" applyAlignment="1">
      <alignment horizontal="center" vertical="center" wrapText="1"/>
    </xf>
    <xf numFmtId="173" fontId="2" fillId="0" borderId="1" xfId="0" applyNumberFormat="1" applyFont="1" applyBorder="1" applyAlignment="1">
      <alignment horizontal="center" vertical="center" wrapText="1"/>
    </xf>
    <xf numFmtId="173" fontId="1" fillId="0" borderId="1" xfId="0" applyNumberFormat="1" applyFont="1" applyBorder="1" applyAlignment="1">
      <alignment horizontal="center" vertical="center" wrapText="1"/>
    </xf>
    <xf numFmtId="173" fontId="6" fillId="0" borderId="0" xfId="0" applyNumberFormat="1" applyFont="1" applyAlignment="1">
      <alignment vertical="center"/>
    </xf>
    <xf numFmtId="173" fontId="0" fillId="0" borderId="0" xfId="0" applyNumberFormat="1"/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F9D740E8-C89F-424F-A4AD-153DCB2D50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munozam/Downloads/CLUB%20738-31-DE-DICIEMBRE-2025_ANEXOS%20A,%20B%20Y%20C.xlsx" TargetMode="External"/><Relationship Id="rId1" Type="http://schemas.openxmlformats.org/officeDocument/2006/relationships/externalLinkPath" Target="/Users/smunozam/Downloads/CLUB%20738-31-DE-DICIEMBRE-2025_ANEXOS%20A,%20B%20Y%20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exo A"/>
      <sheetName val="Anexo B"/>
      <sheetName val="Anexo C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ichfer0304@gmail.com" TargetMode="External"/><Relationship Id="rId1" Type="http://schemas.openxmlformats.org/officeDocument/2006/relationships/hyperlink" Target="mailto:richfegas@icloud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ichfer03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Y471"/>
  <sheetViews>
    <sheetView tabSelected="1" topLeftCell="F1" zoomScale="90" zoomScaleNormal="90" workbookViewId="0">
      <pane ySplit="1" topLeftCell="A14" activePane="bottomLeft" state="frozen"/>
      <selection pane="bottomLeft" activeCell="H287" sqref="H287"/>
    </sheetView>
  </sheetViews>
  <sheetFormatPr baseColWidth="10" defaultColWidth="14.5" defaultRowHeight="15" x14ac:dyDescent="0.2"/>
  <cols>
    <col min="1" max="1" width="16.5" customWidth="1"/>
    <col min="2" max="2" width="28.5" customWidth="1"/>
    <col min="3" max="3" width="32.5" customWidth="1"/>
    <col min="4" max="4" width="30.83203125" customWidth="1"/>
    <col min="5" max="5" width="17.5" customWidth="1"/>
    <col min="6" max="6" width="37.5" customWidth="1"/>
    <col min="7" max="7" width="16.33203125" customWidth="1"/>
    <col min="8" max="8" width="34.33203125" bestFit="1" customWidth="1"/>
    <col min="9" max="9" width="25.5" customWidth="1"/>
    <col min="10" max="10" width="18.83203125" customWidth="1"/>
    <col min="11" max="11" width="24.6640625" customWidth="1"/>
    <col min="12" max="12" width="23.5" customWidth="1"/>
    <col min="13" max="13" width="24.5" customWidth="1"/>
    <col min="14" max="14" width="13.6640625" customWidth="1"/>
    <col min="15" max="16" width="12.1640625" customWidth="1"/>
    <col min="17" max="17" width="28.33203125" style="24" bestFit="1" customWidth="1"/>
    <col min="18" max="18" width="10.6640625" customWidth="1"/>
    <col min="25" max="25" width="21.1640625" bestFit="1" customWidth="1"/>
  </cols>
  <sheetData>
    <row r="1" spans="1:25" ht="3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1" t="s">
        <v>1242</v>
      </c>
      <c r="R1" s="3"/>
    </row>
    <row r="2" spans="1:25" ht="54" x14ac:dyDescent="0.2">
      <c r="A2" s="4">
        <v>738</v>
      </c>
      <c r="B2" s="5" t="s">
        <v>16</v>
      </c>
      <c r="C2" s="5" t="s">
        <v>17</v>
      </c>
      <c r="D2" s="5" t="s">
        <v>18</v>
      </c>
      <c r="E2" s="5">
        <v>1</v>
      </c>
      <c r="F2" s="6" t="s">
        <v>19</v>
      </c>
      <c r="G2" s="7">
        <v>9999470480</v>
      </c>
      <c r="H2" s="20" t="s">
        <v>20</v>
      </c>
      <c r="I2" s="5" t="s">
        <v>21</v>
      </c>
      <c r="J2" s="5" t="s">
        <v>22</v>
      </c>
      <c r="K2" s="8" t="s">
        <v>23</v>
      </c>
      <c r="L2" s="9" t="s">
        <v>24</v>
      </c>
      <c r="M2" s="5" t="s">
        <v>25</v>
      </c>
      <c r="N2" s="5" t="s">
        <v>26</v>
      </c>
      <c r="O2" s="5">
        <v>1</v>
      </c>
      <c r="P2" s="5">
        <v>0</v>
      </c>
      <c r="Q2" s="22">
        <f>_xlfn.XLOOKUP(H2, 'Anexo A'!$E$1:$E$77, 'Anexo A'!$I$1:$I$77, "", 0)</f>
        <v>39288</v>
      </c>
      <c r="R2" s="1"/>
      <c r="Y2" s="22"/>
    </row>
    <row r="3" spans="1:25" ht="54" x14ac:dyDescent="0.2">
      <c r="A3" s="4">
        <v>738</v>
      </c>
      <c r="B3" s="5" t="s">
        <v>16</v>
      </c>
      <c r="C3" s="5" t="s">
        <v>17</v>
      </c>
      <c r="D3" s="5" t="s">
        <v>18</v>
      </c>
      <c r="E3" s="5">
        <v>1</v>
      </c>
      <c r="F3" s="6" t="s">
        <v>19</v>
      </c>
      <c r="G3" s="7">
        <v>9999470480</v>
      </c>
      <c r="H3" s="7" t="s">
        <v>20</v>
      </c>
      <c r="I3" s="5" t="s">
        <v>21</v>
      </c>
      <c r="J3" s="5" t="s">
        <v>22</v>
      </c>
      <c r="K3" s="8" t="s">
        <v>23</v>
      </c>
      <c r="L3" s="9" t="s">
        <v>24</v>
      </c>
      <c r="M3" s="5" t="s">
        <v>27</v>
      </c>
      <c r="N3" s="5" t="s">
        <v>28</v>
      </c>
      <c r="O3" s="5">
        <v>1</v>
      </c>
      <c r="P3" s="5">
        <v>0</v>
      </c>
      <c r="Q3" s="22">
        <f>_xlfn.XLOOKUP(H3, 'Anexo A'!$E$1:$E$77, 'Anexo A'!$I$1:$I$77, "", 0)</f>
        <v>39288</v>
      </c>
      <c r="R3" s="1"/>
      <c r="Y3" s="22"/>
    </row>
    <row r="4" spans="1:25" ht="54" x14ac:dyDescent="0.2">
      <c r="A4" s="4">
        <v>738</v>
      </c>
      <c r="B4" s="5" t="s">
        <v>16</v>
      </c>
      <c r="C4" s="5" t="s">
        <v>17</v>
      </c>
      <c r="D4" s="5" t="s">
        <v>18</v>
      </c>
      <c r="E4" s="5">
        <v>1</v>
      </c>
      <c r="F4" s="6" t="s">
        <v>19</v>
      </c>
      <c r="G4" s="7">
        <v>9999470480</v>
      </c>
      <c r="H4" s="7" t="s">
        <v>20</v>
      </c>
      <c r="I4" s="5" t="s">
        <v>29</v>
      </c>
      <c r="J4" s="5" t="s">
        <v>30</v>
      </c>
      <c r="K4" s="8" t="s">
        <v>23</v>
      </c>
      <c r="L4" s="9" t="s">
        <v>31</v>
      </c>
      <c r="M4" s="5" t="s">
        <v>32</v>
      </c>
      <c r="N4" s="5" t="s">
        <v>33</v>
      </c>
      <c r="O4" s="5">
        <v>1</v>
      </c>
      <c r="P4" s="5">
        <v>0</v>
      </c>
      <c r="Q4" s="22">
        <f>_xlfn.XLOOKUP(H4, 'Anexo A'!$E$1:$E$77, 'Anexo A'!$I$1:$I$77, "", 0)</f>
        <v>39288</v>
      </c>
      <c r="R4" s="1"/>
      <c r="Y4" s="22"/>
    </row>
    <row r="5" spans="1:25" ht="54" x14ac:dyDescent="0.2">
      <c r="A5" s="4">
        <v>738</v>
      </c>
      <c r="B5" s="5" t="s">
        <v>16</v>
      </c>
      <c r="C5" s="5" t="s">
        <v>17</v>
      </c>
      <c r="D5" s="5" t="s">
        <v>18</v>
      </c>
      <c r="E5" s="5">
        <v>1</v>
      </c>
      <c r="F5" s="6" t="s">
        <v>19</v>
      </c>
      <c r="G5" s="7">
        <v>9999470480</v>
      </c>
      <c r="H5" s="7" t="s">
        <v>20</v>
      </c>
      <c r="I5" s="5" t="s">
        <v>34</v>
      </c>
      <c r="J5" s="5" t="s">
        <v>35</v>
      </c>
      <c r="K5" s="5" t="s">
        <v>36</v>
      </c>
      <c r="L5" s="9" t="s">
        <v>37</v>
      </c>
      <c r="M5" s="10" t="s">
        <v>38</v>
      </c>
      <c r="N5" s="5" t="s">
        <v>39</v>
      </c>
      <c r="O5" s="5">
        <v>0</v>
      </c>
      <c r="P5" s="5">
        <v>1</v>
      </c>
      <c r="Q5" s="22">
        <f>_xlfn.XLOOKUP(H5, 'Anexo A'!$E$1:$E$77, 'Anexo A'!$I$1:$I$77, "", 0)</f>
        <v>39288</v>
      </c>
      <c r="R5" s="1"/>
      <c r="Y5" s="22"/>
    </row>
    <row r="6" spans="1:25" ht="54" x14ac:dyDescent="0.2">
      <c r="A6" s="4">
        <v>738</v>
      </c>
      <c r="B6" s="5" t="s">
        <v>16</v>
      </c>
      <c r="C6" s="5" t="s">
        <v>40</v>
      </c>
      <c r="D6" s="5" t="s">
        <v>41</v>
      </c>
      <c r="E6" s="5">
        <v>2</v>
      </c>
      <c r="F6" s="6" t="s">
        <v>42</v>
      </c>
      <c r="G6" s="12" t="s">
        <v>43</v>
      </c>
      <c r="H6" s="7" t="s">
        <v>44</v>
      </c>
      <c r="I6" s="5" t="s">
        <v>21</v>
      </c>
      <c r="J6" s="5" t="s">
        <v>45</v>
      </c>
      <c r="K6" s="5" t="s">
        <v>46</v>
      </c>
      <c r="L6" s="9" t="s">
        <v>47</v>
      </c>
      <c r="M6" s="5">
        <v>238677</v>
      </c>
      <c r="N6" s="5" t="s">
        <v>48</v>
      </c>
      <c r="O6" s="5">
        <v>1</v>
      </c>
      <c r="P6" s="5">
        <v>0</v>
      </c>
      <c r="Q6" s="22">
        <f>_xlfn.XLOOKUP(H6, 'Anexo A'!$E$1:$E$77, 'Anexo A'!$I$1:$I$77, "", 0)</f>
        <v>44470</v>
      </c>
      <c r="R6" s="1"/>
      <c r="Y6" s="22"/>
    </row>
    <row r="7" spans="1:25" ht="54" x14ac:dyDescent="0.2">
      <c r="A7" s="4">
        <v>738</v>
      </c>
      <c r="B7" s="5" t="s">
        <v>16</v>
      </c>
      <c r="C7" s="5" t="s">
        <v>40</v>
      </c>
      <c r="D7" s="5" t="s">
        <v>41</v>
      </c>
      <c r="E7" s="5">
        <v>2</v>
      </c>
      <c r="F7" s="6" t="s">
        <v>42</v>
      </c>
      <c r="G7" s="12" t="s">
        <v>43</v>
      </c>
      <c r="H7" s="7" t="s">
        <v>44</v>
      </c>
      <c r="I7" s="5" t="s">
        <v>21</v>
      </c>
      <c r="J7" s="5" t="s">
        <v>49</v>
      </c>
      <c r="K7" s="5" t="s">
        <v>50</v>
      </c>
      <c r="L7" s="5">
        <v>41</v>
      </c>
      <c r="M7" s="5">
        <v>41605</v>
      </c>
      <c r="N7" s="5" t="s">
        <v>51</v>
      </c>
      <c r="O7" s="5">
        <v>1</v>
      </c>
      <c r="P7" s="5">
        <v>0</v>
      </c>
      <c r="Q7" s="22">
        <f>_xlfn.XLOOKUP(H7, 'Anexo A'!$E$1:$E$77, 'Anexo A'!$I$1:$I$77, "", 0)</f>
        <v>44470</v>
      </c>
      <c r="R7" s="1"/>
      <c r="Y7" s="22"/>
    </row>
    <row r="8" spans="1:25" ht="54" x14ac:dyDescent="0.2">
      <c r="A8" s="4">
        <v>738</v>
      </c>
      <c r="B8" s="5" t="s">
        <v>16</v>
      </c>
      <c r="C8" s="5" t="s">
        <v>40</v>
      </c>
      <c r="D8" s="5" t="s">
        <v>41</v>
      </c>
      <c r="E8" s="5">
        <v>2</v>
      </c>
      <c r="F8" s="6" t="s">
        <v>42</v>
      </c>
      <c r="G8" s="12" t="s">
        <v>43</v>
      </c>
      <c r="H8" s="7" t="s">
        <v>44</v>
      </c>
      <c r="I8" s="5" t="s">
        <v>21</v>
      </c>
      <c r="J8" s="5" t="s">
        <v>52</v>
      </c>
      <c r="K8" s="5" t="s">
        <v>53</v>
      </c>
      <c r="L8" s="9" t="s">
        <v>54</v>
      </c>
      <c r="M8" s="5" t="s">
        <v>55</v>
      </c>
      <c r="N8" s="5" t="s">
        <v>56</v>
      </c>
      <c r="O8" s="5">
        <v>1</v>
      </c>
      <c r="P8" s="5">
        <v>0</v>
      </c>
      <c r="Q8" s="22">
        <f>_xlfn.XLOOKUP(H8, 'Anexo A'!$E$1:$E$77, 'Anexo A'!$I$1:$I$77, "", 0)</f>
        <v>44470</v>
      </c>
      <c r="R8" s="1"/>
      <c r="Y8" s="22"/>
    </row>
    <row r="9" spans="1:25" ht="54" x14ac:dyDescent="0.2">
      <c r="A9" s="4">
        <v>738</v>
      </c>
      <c r="B9" s="5" t="s">
        <v>16</v>
      </c>
      <c r="C9" s="5" t="s">
        <v>40</v>
      </c>
      <c r="D9" s="5" t="s">
        <v>41</v>
      </c>
      <c r="E9" s="5">
        <v>2</v>
      </c>
      <c r="F9" s="6" t="s">
        <v>42</v>
      </c>
      <c r="G9" s="12" t="s">
        <v>43</v>
      </c>
      <c r="H9" s="7" t="s">
        <v>44</v>
      </c>
      <c r="I9" s="5" t="s">
        <v>57</v>
      </c>
      <c r="J9" s="5" t="s">
        <v>58</v>
      </c>
      <c r="K9" s="5" t="s">
        <v>46</v>
      </c>
      <c r="L9" s="9" t="s">
        <v>59</v>
      </c>
      <c r="M9" s="5" t="s">
        <v>60</v>
      </c>
      <c r="N9" s="5" t="s">
        <v>61</v>
      </c>
      <c r="O9" s="5">
        <v>0</v>
      </c>
      <c r="P9" s="5">
        <v>1</v>
      </c>
      <c r="Q9" s="22">
        <f>_xlfn.XLOOKUP(H9, 'Anexo A'!$E$1:$E$77, 'Anexo A'!$I$1:$I$77, "", 0)</f>
        <v>44470</v>
      </c>
      <c r="R9" s="1"/>
      <c r="Y9" s="22"/>
    </row>
    <row r="10" spans="1:25" ht="54" x14ac:dyDescent="0.2">
      <c r="A10" s="4">
        <v>738</v>
      </c>
      <c r="B10" s="5" t="s">
        <v>16</v>
      </c>
      <c r="C10" s="5" t="s">
        <v>40</v>
      </c>
      <c r="D10" s="5" t="s">
        <v>41</v>
      </c>
      <c r="E10" s="5">
        <v>2</v>
      </c>
      <c r="F10" s="6" t="s">
        <v>42</v>
      </c>
      <c r="G10" s="12" t="s">
        <v>43</v>
      </c>
      <c r="H10" s="7" t="s">
        <v>44</v>
      </c>
      <c r="I10" s="5" t="s">
        <v>57</v>
      </c>
      <c r="J10" s="5" t="s">
        <v>49</v>
      </c>
      <c r="K10" s="5" t="s">
        <v>62</v>
      </c>
      <c r="L10" s="9" t="s">
        <v>63</v>
      </c>
      <c r="M10" s="5" t="s">
        <v>64</v>
      </c>
      <c r="N10" s="5" t="s">
        <v>65</v>
      </c>
      <c r="O10" s="5">
        <v>0</v>
      </c>
      <c r="P10" s="5">
        <v>1</v>
      </c>
      <c r="Q10" s="22">
        <f>_xlfn.XLOOKUP(H10, 'Anexo A'!$E$1:$E$77, 'Anexo A'!$I$1:$I$77, "", 0)</f>
        <v>44470</v>
      </c>
      <c r="R10" s="1"/>
      <c r="Y10" s="22"/>
    </row>
    <row r="11" spans="1:25" ht="54" x14ac:dyDescent="0.2">
      <c r="A11" s="4">
        <v>738</v>
      </c>
      <c r="B11" s="5" t="s">
        <v>16</v>
      </c>
      <c r="C11" s="5" t="s">
        <v>66</v>
      </c>
      <c r="D11" s="5" t="s">
        <v>67</v>
      </c>
      <c r="E11" s="5">
        <v>3</v>
      </c>
      <c r="F11" s="6" t="s">
        <v>68</v>
      </c>
      <c r="G11" s="7">
        <v>9992442613</v>
      </c>
      <c r="H11" s="7" t="s">
        <v>69</v>
      </c>
      <c r="I11" s="5" t="s">
        <v>21</v>
      </c>
      <c r="J11" s="5" t="s">
        <v>45</v>
      </c>
      <c r="K11" s="5" t="s">
        <v>53</v>
      </c>
      <c r="L11" s="5">
        <v>25</v>
      </c>
      <c r="M11" s="5" t="s">
        <v>70</v>
      </c>
      <c r="N11" s="5" t="s">
        <v>71</v>
      </c>
      <c r="O11" s="5">
        <v>1</v>
      </c>
      <c r="P11" s="5">
        <v>0</v>
      </c>
      <c r="Q11" s="22">
        <f>_xlfn.XLOOKUP(H11, 'Anexo A'!$E$1:$E$77, 'Anexo A'!$I$1:$I$77, "", 0)</f>
        <v>39822</v>
      </c>
      <c r="R11" s="1"/>
      <c r="Y11" s="22"/>
    </row>
    <row r="12" spans="1:25" ht="54" x14ac:dyDescent="0.2">
      <c r="A12" s="4">
        <v>738</v>
      </c>
      <c r="B12" s="5" t="s">
        <v>16</v>
      </c>
      <c r="C12" s="5" t="s">
        <v>66</v>
      </c>
      <c r="D12" s="5" t="s">
        <v>67</v>
      </c>
      <c r="E12" s="5">
        <v>3</v>
      </c>
      <c r="F12" s="6" t="s">
        <v>68</v>
      </c>
      <c r="G12" s="7">
        <v>9992442613</v>
      </c>
      <c r="H12" s="7" t="s">
        <v>69</v>
      </c>
      <c r="I12" s="5" t="s">
        <v>72</v>
      </c>
      <c r="J12" s="5" t="s">
        <v>73</v>
      </c>
      <c r="K12" s="5" t="s">
        <v>50</v>
      </c>
      <c r="L12" s="9" t="s">
        <v>74</v>
      </c>
      <c r="M12" s="5" t="s">
        <v>75</v>
      </c>
      <c r="N12" s="5" t="s">
        <v>76</v>
      </c>
      <c r="O12" s="5">
        <v>1</v>
      </c>
      <c r="P12" s="5">
        <v>0</v>
      </c>
      <c r="Q12" s="22">
        <f>_xlfn.XLOOKUP(H12, 'Anexo A'!$E$1:$E$77, 'Anexo A'!$I$1:$I$77, "", 0)</f>
        <v>39822</v>
      </c>
      <c r="R12" s="1"/>
      <c r="Y12" s="22"/>
    </row>
    <row r="13" spans="1:25" ht="54" x14ac:dyDescent="0.2">
      <c r="A13" s="4">
        <v>738</v>
      </c>
      <c r="B13" s="5" t="s">
        <v>16</v>
      </c>
      <c r="C13" s="5" t="s">
        <v>66</v>
      </c>
      <c r="D13" s="5" t="s">
        <v>67</v>
      </c>
      <c r="E13" s="5">
        <v>3</v>
      </c>
      <c r="F13" s="6" t="s">
        <v>68</v>
      </c>
      <c r="G13" s="7">
        <v>9992442613</v>
      </c>
      <c r="H13" s="7" t="s">
        <v>69</v>
      </c>
      <c r="I13" s="5" t="s">
        <v>57</v>
      </c>
      <c r="J13" s="5" t="s">
        <v>58</v>
      </c>
      <c r="K13" s="5" t="s">
        <v>77</v>
      </c>
      <c r="L13" s="9" t="s">
        <v>78</v>
      </c>
      <c r="M13" s="5" t="s">
        <v>79</v>
      </c>
      <c r="N13" s="5" t="s">
        <v>80</v>
      </c>
      <c r="O13" s="5">
        <v>0</v>
      </c>
      <c r="P13" s="5">
        <v>1</v>
      </c>
      <c r="Q13" s="22">
        <f>_xlfn.XLOOKUP(H13, 'Anexo A'!$E$1:$E$77, 'Anexo A'!$I$1:$I$77, "", 0)</f>
        <v>39822</v>
      </c>
      <c r="R13" s="1"/>
      <c r="Y13" s="22"/>
    </row>
    <row r="14" spans="1:25" ht="54" x14ac:dyDescent="0.2">
      <c r="A14" s="4">
        <v>738</v>
      </c>
      <c r="B14" s="5" t="s">
        <v>16</v>
      </c>
      <c r="C14" s="5" t="s">
        <v>66</v>
      </c>
      <c r="D14" s="5" t="s">
        <v>67</v>
      </c>
      <c r="E14" s="5">
        <v>3</v>
      </c>
      <c r="F14" s="6" t="s">
        <v>68</v>
      </c>
      <c r="G14" s="7">
        <v>9992442613</v>
      </c>
      <c r="H14" s="7" t="s">
        <v>69</v>
      </c>
      <c r="I14" s="5" t="s">
        <v>21</v>
      </c>
      <c r="J14" s="5" t="s">
        <v>45</v>
      </c>
      <c r="K14" s="5" t="s">
        <v>81</v>
      </c>
      <c r="L14" s="5" t="s">
        <v>82</v>
      </c>
      <c r="M14" s="5" t="s">
        <v>83</v>
      </c>
      <c r="N14" s="5" t="s">
        <v>84</v>
      </c>
      <c r="O14" s="5">
        <v>1</v>
      </c>
      <c r="P14" s="5">
        <v>0</v>
      </c>
      <c r="Q14" s="22">
        <f>_xlfn.XLOOKUP(H14, 'Anexo A'!$E$1:$E$77, 'Anexo A'!$I$1:$I$77, "", 0)</f>
        <v>39822</v>
      </c>
      <c r="R14" s="1"/>
      <c r="Y14" s="22"/>
    </row>
    <row r="15" spans="1:25" ht="54" x14ac:dyDescent="0.2">
      <c r="A15" s="4">
        <v>738</v>
      </c>
      <c r="B15" s="5" t="s">
        <v>16</v>
      </c>
      <c r="C15" s="5" t="s">
        <v>66</v>
      </c>
      <c r="D15" s="5" t="s">
        <v>67</v>
      </c>
      <c r="E15" s="5">
        <v>3</v>
      </c>
      <c r="F15" s="6" t="s">
        <v>68</v>
      </c>
      <c r="G15" s="7">
        <v>9992442613</v>
      </c>
      <c r="H15" s="7" t="s">
        <v>69</v>
      </c>
      <c r="I15" s="5" t="s">
        <v>85</v>
      </c>
      <c r="J15" s="5">
        <v>12</v>
      </c>
      <c r="K15" s="5" t="s">
        <v>86</v>
      </c>
      <c r="L15" s="5">
        <v>500</v>
      </c>
      <c r="M15" s="5" t="s">
        <v>87</v>
      </c>
      <c r="N15" s="5" t="s">
        <v>88</v>
      </c>
      <c r="O15" s="5">
        <v>0</v>
      </c>
      <c r="P15" s="5">
        <v>1</v>
      </c>
      <c r="Q15" s="22">
        <f>_xlfn.XLOOKUP(H15, 'Anexo A'!$E$1:$E$77, 'Anexo A'!$I$1:$I$77, "", 0)</f>
        <v>39822</v>
      </c>
      <c r="R15" s="1"/>
      <c r="Y15" s="22"/>
    </row>
    <row r="16" spans="1:25" ht="54" x14ac:dyDescent="0.2">
      <c r="A16" s="4">
        <v>738</v>
      </c>
      <c r="B16" s="5" t="s">
        <v>16</v>
      </c>
      <c r="C16" s="5" t="s">
        <v>66</v>
      </c>
      <c r="D16" s="5" t="s">
        <v>67</v>
      </c>
      <c r="E16" s="5">
        <v>3</v>
      </c>
      <c r="F16" s="6" t="s">
        <v>68</v>
      </c>
      <c r="G16" s="7">
        <v>9992442613</v>
      </c>
      <c r="H16" s="7" t="s">
        <v>69</v>
      </c>
      <c r="I16" s="5" t="s">
        <v>57</v>
      </c>
      <c r="J16" s="5" t="s">
        <v>49</v>
      </c>
      <c r="K16" s="5" t="s">
        <v>89</v>
      </c>
      <c r="L16" s="5">
        <v>30</v>
      </c>
      <c r="M16" s="5">
        <v>2552429</v>
      </c>
      <c r="N16" s="5" t="s">
        <v>90</v>
      </c>
      <c r="O16" s="5">
        <v>0</v>
      </c>
      <c r="P16" s="5">
        <v>1</v>
      </c>
      <c r="Q16" s="22">
        <f>_xlfn.XLOOKUP(H16, 'Anexo A'!$E$1:$E$77, 'Anexo A'!$I$1:$I$77, "", 0)</f>
        <v>39822</v>
      </c>
      <c r="R16" s="1"/>
      <c r="Y16" s="22"/>
    </row>
    <row r="17" spans="1:25" ht="54" x14ac:dyDescent="0.2">
      <c r="A17" s="4">
        <v>738</v>
      </c>
      <c r="B17" s="5" t="s">
        <v>16</v>
      </c>
      <c r="C17" s="5" t="s">
        <v>66</v>
      </c>
      <c r="D17" s="5" t="s">
        <v>67</v>
      </c>
      <c r="E17" s="5">
        <v>3</v>
      </c>
      <c r="F17" s="6" t="s">
        <v>68</v>
      </c>
      <c r="G17" s="7">
        <v>9992442613</v>
      </c>
      <c r="H17" s="7" t="s">
        <v>69</v>
      </c>
      <c r="I17" s="5" t="s">
        <v>57</v>
      </c>
      <c r="J17" s="8" t="s">
        <v>91</v>
      </c>
      <c r="K17" s="5" t="s">
        <v>92</v>
      </c>
      <c r="L17" s="5" t="s">
        <v>93</v>
      </c>
      <c r="M17" s="5" t="s">
        <v>94</v>
      </c>
      <c r="N17" s="5" t="s">
        <v>95</v>
      </c>
      <c r="O17" s="5">
        <v>0</v>
      </c>
      <c r="P17" s="5">
        <v>1</v>
      </c>
      <c r="Q17" s="22">
        <f>_xlfn.XLOOKUP(H17, 'Anexo A'!$E$1:$E$77, 'Anexo A'!$I$1:$I$77, "", 0)</f>
        <v>39822</v>
      </c>
      <c r="R17" s="1"/>
      <c r="Y17" s="22"/>
    </row>
    <row r="18" spans="1:25" ht="54" x14ac:dyDescent="0.2">
      <c r="A18" s="4">
        <v>738</v>
      </c>
      <c r="B18" s="5" t="s">
        <v>16</v>
      </c>
      <c r="C18" s="5" t="s">
        <v>66</v>
      </c>
      <c r="D18" s="5" t="s">
        <v>67</v>
      </c>
      <c r="E18" s="5">
        <v>3</v>
      </c>
      <c r="F18" s="6" t="s">
        <v>68</v>
      </c>
      <c r="G18" s="7">
        <v>9992442613</v>
      </c>
      <c r="H18" s="7" t="s">
        <v>69</v>
      </c>
      <c r="I18" s="5" t="s">
        <v>72</v>
      </c>
      <c r="J18" s="5" t="s">
        <v>49</v>
      </c>
      <c r="K18" s="5" t="s">
        <v>96</v>
      </c>
      <c r="L18" s="5" t="s">
        <v>97</v>
      </c>
      <c r="M18" s="5" t="s">
        <v>98</v>
      </c>
      <c r="N18" s="5" t="s">
        <v>99</v>
      </c>
      <c r="O18" s="5">
        <v>1</v>
      </c>
      <c r="P18" s="5">
        <v>0</v>
      </c>
      <c r="Q18" s="22">
        <f>_xlfn.XLOOKUP(H18, 'Anexo A'!$E$1:$E$77, 'Anexo A'!$I$1:$I$77, "", 0)</f>
        <v>39822</v>
      </c>
      <c r="R18" s="1"/>
      <c r="Y18" s="22"/>
    </row>
    <row r="19" spans="1:25" ht="54" x14ac:dyDescent="0.2">
      <c r="A19" s="4">
        <v>738</v>
      </c>
      <c r="B19" s="5" t="s">
        <v>16</v>
      </c>
      <c r="C19" s="5" t="s">
        <v>100</v>
      </c>
      <c r="D19" s="5" t="s">
        <v>101</v>
      </c>
      <c r="E19" s="5">
        <v>4</v>
      </c>
      <c r="F19" s="6" t="s">
        <v>102</v>
      </c>
      <c r="G19" s="12" t="s">
        <v>103</v>
      </c>
      <c r="H19" s="7" t="s">
        <v>104</v>
      </c>
      <c r="I19" s="5" t="s">
        <v>57</v>
      </c>
      <c r="J19" s="9" t="s">
        <v>105</v>
      </c>
      <c r="K19" s="9" t="s">
        <v>92</v>
      </c>
      <c r="L19" s="9" t="s">
        <v>106</v>
      </c>
      <c r="M19" s="9" t="s">
        <v>107</v>
      </c>
      <c r="N19" s="9" t="s">
        <v>108</v>
      </c>
      <c r="O19" s="5">
        <v>0</v>
      </c>
      <c r="P19" s="5">
        <v>1</v>
      </c>
      <c r="Q19" s="22">
        <f>_xlfn.XLOOKUP(H19, 'Anexo A'!$E$1:$E$77, 'Anexo A'!$I$1:$I$77, "", 0)</f>
        <v>44379</v>
      </c>
      <c r="R19" s="1"/>
      <c r="Y19" s="22"/>
    </row>
    <row r="20" spans="1:25" ht="54" x14ac:dyDescent="0.2">
      <c r="A20" s="4">
        <v>738</v>
      </c>
      <c r="B20" s="5" t="s">
        <v>16</v>
      </c>
      <c r="C20" s="5" t="s">
        <v>100</v>
      </c>
      <c r="D20" s="5" t="s">
        <v>101</v>
      </c>
      <c r="E20" s="5">
        <v>4</v>
      </c>
      <c r="F20" s="6" t="s">
        <v>102</v>
      </c>
      <c r="G20" s="12" t="s">
        <v>103</v>
      </c>
      <c r="H20" s="7" t="s">
        <v>104</v>
      </c>
      <c r="I20" s="5" t="s">
        <v>85</v>
      </c>
      <c r="J20" s="9" t="s">
        <v>109</v>
      </c>
      <c r="K20" s="9" t="s">
        <v>110</v>
      </c>
      <c r="L20" s="9" t="s">
        <v>111</v>
      </c>
      <c r="M20" s="9" t="s">
        <v>112</v>
      </c>
      <c r="N20" s="9" t="s">
        <v>113</v>
      </c>
      <c r="O20" s="5">
        <v>0</v>
      </c>
      <c r="P20" s="5">
        <v>1</v>
      </c>
      <c r="Q20" s="22">
        <f>_xlfn.XLOOKUP(H20, 'Anexo A'!$E$1:$E$77, 'Anexo A'!$I$1:$I$77, "", 0)</f>
        <v>44379</v>
      </c>
      <c r="R20" s="1"/>
      <c r="Y20" s="22"/>
    </row>
    <row r="21" spans="1:25" ht="54" x14ac:dyDescent="0.2">
      <c r="A21" s="4">
        <v>738</v>
      </c>
      <c r="B21" s="5" t="s">
        <v>16</v>
      </c>
      <c r="C21" s="5" t="s">
        <v>100</v>
      </c>
      <c r="D21" s="5" t="s">
        <v>101</v>
      </c>
      <c r="E21" s="5">
        <v>4</v>
      </c>
      <c r="F21" s="6" t="s">
        <v>102</v>
      </c>
      <c r="G21" s="12" t="s">
        <v>103</v>
      </c>
      <c r="H21" s="7" t="s">
        <v>104</v>
      </c>
      <c r="I21" s="5" t="s">
        <v>57</v>
      </c>
      <c r="J21" s="9" t="s">
        <v>114</v>
      </c>
      <c r="K21" s="9" t="s">
        <v>115</v>
      </c>
      <c r="L21" s="9" t="s">
        <v>116</v>
      </c>
      <c r="M21" s="9" t="s">
        <v>117</v>
      </c>
      <c r="N21" s="9" t="s">
        <v>118</v>
      </c>
      <c r="O21" s="5">
        <v>0</v>
      </c>
      <c r="P21" s="5">
        <v>1</v>
      </c>
      <c r="Q21" s="22">
        <f>_xlfn.XLOOKUP(H21, 'Anexo A'!$E$1:$E$77, 'Anexo A'!$I$1:$I$77, "", 0)</f>
        <v>44379</v>
      </c>
      <c r="R21" s="1"/>
      <c r="Y21" s="22"/>
    </row>
    <row r="22" spans="1:25" ht="54" x14ac:dyDescent="0.2">
      <c r="A22" s="4">
        <v>738</v>
      </c>
      <c r="B22" s="5" t="s">
        <v>16</v>
      </c>
      <c r="C22" s="5" t="s">
        <v>100</v>
      </c>
      <c r="D22" s="5" t="s">
        <v>101</v>
      </c>
      <c r="E22" s="5">
        <v>4</v>
      </c>
      <c r="F22" s="6" t="s">
        <v>102</v>
      </c>
      <c r="G22" s="12" t="s">
        <v>103</v>
      </c>
      <c r="H22" s="7" t="s">
        <v>104</v>
      </c>
      <c r="I22" s="5" t="s">
        <v>85</v>
      </c>
      <c r="J22" s="9" t="s">
        <v>119</v>
      </c>
      <c r="K22" s="9" t="s">
        <v>110</v>
      </c>
      <c r="L22" s="9" t="s">
        <v>120</v>
      </c>
      <c r="M22" s="9" t="s">
        <v>121</v>
      </c>
      <c r="N22" s="9" t="s">
        <v>122</v>
      </c>
      <c r="O22" s="5">
        <v>0</v>
      </c>
      <c r="P22" s="5">
        <v>1</v>
      </c>
      <c r="Q22" s="22">
        <f>_xlfn.XLOOKUP(H22, 'Anexo A'!$E$1:$E$77, 'Anexo A'!$I$1:$I$77, "", 0)</f>
        <v>44379</v>
      </c>
      <c r="R22" s="1"/>
      <c r="Y22" s="22"/>
    </row>
    <row r="23" spans="1:25" ht="54" x14ac:dyDescent="0.2">
      <c r="A23" s="4">
        <v>738</v>
      </c>
      <c r="B23" s="5" t="s">
        <v>16</v>
      </c>
      <c r="C23" s="5" t="s">
        <v>100</v>
      </c>
      <c r="D23" s="5" t="s">
        <v>101</v>
      </c>
      <c r="E23" s="5">
        <v>4</v>
      </c>
      <c r="F23" s="6" t="s">
        <v>102</v>
      </c>
      <c r="G23" s="12" t="s">
        <v>103</v>
      </c>
      <c r="H23" s="7" t="s">
        <v>104</v>
      </c>
      <c r="I23" s="5" t="s">
        <v>57</v>
      </c>
      <c r="J23" s="9" t="s">
        <v>123</v>
      </c>
      <c r="K23" s="9" t="s">
        <v>124</v>
      </c>
      <c r="L23" s="9" t="s">
        <v>125</v>
      </c>
      <c r="M23" s="9" t="s">
        <v>126</v>
      </c>
      <c r="N23" s="9" t="s">
        <v>127</v>
      </c>
      <c r="O23" s="5">
        <v>0</v>
      </c>
      <c r="P23" s="5">
        <v>1</v>
      </c>
      <c r="Q23" s="22">
        <f>_xlfn.XLOOKUP(H23, 'Anexo A'!$E$1:$E$77, 'Anexo A'!$I$1:$I$77, "", 0)</f>
        <v>44379</v>
      </c>
      <c r="R23" s="1"/>
      <c r="Y23" s="22"/>
    </row>
    <row r="24" spans="1:25" ht="54" x14ac:dyDescent="0.2">
      <c r="A24" s="4">
        <v>738</v>
      </c>
      <c r="B24" s="5" t="s">
        <v>16</v>
      </c>
      <c r="C24" s="5" t="s">
        <v>100</v>
      </c>
      <c r="D24" s="5" t="s">
        <v>101</v>
      </c>
      <c r="E24" s="5">
        <v>4</v>
      </c>
      <c r="F24" s="6" t="s">
        <v>102</v>
      </c>
      <c r="G24" s="12" t="s">
        <v>103</v>
      </c>
      <c r="H24" s="7" t="s">
        <v>104</v>
      </c>
      <c r="I24" s="5" t="s">
        <v>57</v>
      </c>
      <c r="J24" s="9" t="s">
        <v>128</v>
      </c>
      <c r="K24" s="9" t="s">
        <v>129</v>
      </c>
      <c r="L24" s="9" t="s">
        <v>130</v>
      </c>
      <c r="M24" s="9" t="s">
        <v>131</v>
      </c>
      <c r="N24" s="9" t="s">
        <v>132</v>
      </c>
      <c r="O24" s="5">
        <v>0</v>
      </c>
      <c r="P24" s="5">
        <v>1</v>
      </c>
      <c r="Q24" s="22">
        <f>_xlfn.XLOOKUP(H24, 'Anexo A'!$E$1:$E$77, 'Anexo A'!$I$1:$I$77, "", 0)</f>
        <v>44379</v>
      </c>
      <c r="R24" s="1"/>
      <c r="Y24" s="22"/>
    </row>
    <row r="25" spans="1:25" ht="54" x14ac:dyDescent="0.2">
      <c r="A25" s="4">
        <v>738</v>
      </c>
      <c r="B25" s="5" t="s">
        <v>16</v>
      </c>
      <c r="C25" s="5" t="s">
        <v>100</v>
      </c>
      <c r="D25" s="5" t="s">
        <v>101</v>
      </c>
      <c r="E25" s="5">
        <v>4</v>
      </c>
      <c r="F25" s="6" t="s">
        <v>102</v>
      </c>
      <c r="G25" s="12" t="s">
        <v>103</v>
      </c>
      <c r="H25" s="7" t="s">
        <v>104</v>
      </c>
      <c r="I25" s="5" t="s">
        <v>85</v>
      </c>
      <c r="J25" s="9" t="s">
        <v>109</v>
      </c>
      <c r="K25" s="9" t="s">
        <v>110</v>
      </c>
      <c r="L25" s="9" t="s">
        <v>133</v>
      </c>
      <c r="M25" s="9" t="s">
        <v>134</v>
      </c>
      <c r="N25" s="9" t="s">
        <v>135</v>
      </c>
      <c r="O25" s="5">
        <v>0</v>
      </c>
      <c r="P25" s="5">
        <v>1</v>
      </c>
      <c r="Q25" s="22">
        <f>_xlfn.XLOOKUP(H25, 'Anexo A'!$E$1:$E$77, 'Anexo A'!$I$1:$I$77, "", 0)</f>
        <v>44379</v>
      </c>
      <c r="R25" s="1"/>
      <c r="Y25" s="22"/>
    </row>
    <row r="26" spans="1:25" ht="54" x14ac:dyDescent="0.2">
      <c r="A26" s="4">
        <v>738</v>
      </c>
      <c r="B26" s="5" t="s">
        <v>16</v>
      </c>
      <c r="C26" s="5" t="s">
        <v>100</v>
      </c>
      <c r="D26" s="5" t="s">
        <v>101</v>
      </c>
      <c r="E26" s="5">
        <v>4</v>
      </c>
      <c r="F26" s="6" t="s">
        <v>102</v>
      </c>
      <c r="G26" s="12" t="s">
        <v>103</v>
      </c>
      <c r="H26" s="7" t="s">
        <v>104</v>
      </c>
      <c r="I26" s="5" t="s">
        <v>57</v>
      </c>
      <c r="J26" s="9" t="s">
        <v>58</v>
      </c>
      <c r="K26" s="9" t="s">
        <v>136</v>
      </c>
      <c r="L26" s="9" t="s">
        <v>137</v>
      </c>
      <c r="M26" s="9" t="s">
        <v>138</v>
      </c>
      <c r="N26" s="9" t="s">
        <v>139</v>
      </c>
      <c r="O26" s="5">
        <v>0</v>
      </c>
      <c r="P26" s="5">
        <v>1</v>
      </c>
      <c r="Q26" s="22">
        <f>_xlfn.XLOOKUP(H26, 'Anexo A'!$E$1:$E$77, 'Anexo A'!$I$1:$I$77, "", 0)</f>
        <v>44379</v>
      </c>
      <c r="R26" s="1"/>
      <c r="Y26" s="22"/>
    </row>
    <row r="27" spans="1:25" ht="54" x14ac:dyDescent="0.2">
      <c r="A27" s="4">
        <v>738</v>
      </c>
      <c r="B27" s="5" t="s">
        <v>16</v>
      </c>
      <c r="C27" s="5" t="s">
        <v>100</v>
      </c>
      <c r="D27" s="5" t="s">
        <v>101</v>
      </c>
      <c r="E27" s="5">
        <v>4</v>
      </c>
      <c r="F27" s="6" t="s">
        <v>102</v>
      </c>
      <c r="G27" s="12" t="s">
        <v>103</v>
      </c>
      <c r="H27" s="7" t="s">
        <v>104</v>
      </c>
      <c r="I27" s="5" t="s">
        <v>57</v>
      </c>
      <c r="J27" s="9" t="s">
        <v>58</v>
      </c>
      <c r="K27" s="9" t="s">
        <v>140</v>
      </c>
      <c r="L27" s="9" t="s">
        <v>141</v>
      </c>
      <c r="M27" s="9" t="s">
        <v>142</v>
      </c>
      <c r="N27" s="9" t="s">
        <v>143</v>
      </c>
      <c r="O27" s="5">
        <v>0</v>
      </c>
      <c r="P27" s="5">
        <v>1</v>
      </c>
      <c r="Q27" s="22">
        <f>_xlfn.XLOOKUP(H27, 'Anexo A'!$E$1:$E$77, 'Anexo A'!$I$1:$I$77, "", 0)</f>
        <v>44379</v>
      </c>
      <c r="R27" s="1"/>
      <c r="Y27" s="22"/>
    </row>
    <row r="28" spans="1:25" ht="126" x14ac:dyDescent="0.2">
      <c r="A28" s="4">
        <v>738</v>
      </c>
      <c r="B28" s="5" t="s">
        <v>16</v>
      </c>
      <c r="C28" s="5" t="s">
        <v>100</v>
      </c>
      <c r="D28" s="5" t="s">
        <v>101</v>
      </c>
      <c r="E28" s="5">
        <v>4</v>
      </c>
      <c r="F28" s="6" t="s">
        <v>102</v>
      </c>
      <c r="G28" s="12" t="s">
        <v>103</v>
      </c>
      <c r="H28" s="7" t="s">
        <v>104</v>
      </c>
      <c r="I28" s="5" t="s">
        <v>57</v>
      </c>
      <c r="J28" s="9" t="s">
        <v>144</v>
      </c>
      <c r="K28" s="9" t="s">
        <v>145</v>
      </c>
      <c r="L28" s="9" t="s">
        <v>146</v>
      </c>
      <c r="M28" s="9" t="s">
        <v>147</v>
      </c>
      <c r="N28" s="9" t="s">
        <v>148</v>
      </c>
      <c r="O28" s="5">
        <v>0</v>
      </c>
      <c r="P28" s="5">
        <v>1</v>
      </c>
      <c r="Q28" s="22">
        <f>_xlfn.XLOOKUP(H28, 'Anexo A'!$E$1:$E$77, 'Anexo A'!$I$1:$I$77, "", 0)</f>
        <v>44379</v>
      </c>
      <c r="R28" s="1"/>
      <c r="Y28" s="22"/>
    </row>
    <row r="29" spans="1:25" ht="72" x14ac:dyDescent="0.2">
      <c r="A29" s="4">
        <v>738</v>
      </c>
      <c r="B29" s="5" t="s">
        <v>16</v>
      </c>
      <c r="C29" s="5" t="s">
        <v>149</v>
      </c>
      <c r="D29" s="5" t="s">
        <v>150</v>
      </c>
      <c r="E29" s="5">
        <v>5</v>
      </c>
      <c r="F29" s="6" t="s">
        <v>151</v>
      </c>
      <c r="G29" s="7">
        <v>9992771732</v>
      </c>
      <c r="H29" s="7" t="s">
        <v>152</v>
      </c>
      <c r="I29" s="5" t="s">
        <v>85</v>
      </c>
      <c r="J29" s="9" t="s">
        <v>153</v>
      </c>
      <c r="K29" s="9" t="s">
        <v>154</v>
      </c>
      <c r="L29" s="9" t="s">
        <v>155</v>
      </c>
      <c r="M29" s="9" t="s">
        <v>156</v>
      </c>
      <c r="N29" s="9" t="s">
        <v>157</v>
      </c>
      <c r="O29" s="5">
        <v>0</v>
      </c>
      <c r="P29" s="5">
        <v>1</v>
      </c>
      <c r="Q29" s="22">
        <f>_xlfn.XLOOKUP(H29, 'Anexo A'!$E$1:$E$77, 'Anexo A'!$I$1:$I$77, "", 0)</f>
        <v>40065</v>
      </c>
      <c r="R29" s="1"/>
      <c r="Y29" s="22"/>
    </row>
    <row r="30" spans="1:25" ht="72" x14ac:dyDescent="0.2">
      <c r="A30" s="4">
        <v>738</v>
      </c>
      <c r="B30" s="5" t="s">
        <v>16</v>
      </c>
      <c r="C30" s="5" t="s">
        <v>149</v>
      </c>
      <c r="D30" s="5" t="s">
        <v>150</v>
      </c>
      <c r="E30" s="5">
        <v>5</v>
      </c>
      <c r="F30" s="6" t="s">
        <v>151</v>
      </c>
      <c r="G30" s="7">
        <v>9992771732</v>
      </c>
      <c r="H30" s="7" t="s">
        <v>152</v>
      </c>
      <c r="I30" s="5" t="s">
        <v>85</v>
      </c>
      <c r="J30" s="9" t="s">
        <v>119</v>
      </c>
      <c r="K30" s="9" t="s">
        <v>158</v>
      </c>
      <c r="L30" s="9" t="s">
        <v>159</v>
      </c>
      <c r="M30" s="9" t="s">
        <v>160</v>
      </c>
      <c r="N30" s="9" t="s">
        <v>161</v>
      </c>
      <c r="O30" s="5">
        <v>0</v>
      </c>
      <c r="P30" s="5">
        <v>1</v>
      </c>
      <c r="Q30" s="22">
        <f>_xlfn.XLOOKUP(H30, 'Anexo A'!$E$1:$E$77, 'Anexo A'!$I$1:$I$77, "", 0)</f>
        <v>40065</v>
      </c>
      <c r="R30" s="1"/>
      <c r="Y30" s="22"/>
    </row>
    <row r="31" spans="1:25" ht="72" x14ac:dyDescent="0.2">
      <c r="A31" s="4">
        <v>738</v>
      </c>
      <c r="B31" s="5" t="s">
        <v>16</v>
      </c>
      <c r="C31" s="5" t="s">
        <v>149</v>
      </c>
      <c r="D31" s="5" t="s">
        <v>150</v>
      </c>
      <c r="E31" s="5">
        <v>5</v>
      </c>
      <c r="F31" s="6" t="s">
        <v>151</v>
      </c>
      <c r="G31" s="7">
        <v>9992771732</v>
      </c>
      <c r="H31" s="7" t="s">
        <v>152</v>
      </c>
      <c r="I31" s="5" t="s">
        <v>85</v>
      </c>
      <c r="J31" s="9" t="s">
        <v>119</v>
      </c>
      <c r="K31" s="9" t="s">
        <v>158</v>
      </c>
      <c r="L31" s="9" t="s">
        <v>159</v>
      </c>
      <c r="M31" s="9" t="s">
        <v>162</v>
      </c>
      <c r="N31" s="9" t="s">
        <v>163</v>
      </c>
      <c r="O31" s="5">
        <v>0</v>
      </c>
      <c r="P31" s="5">
        <v>1</v>
      </c>
      <c r="Q31" s="22">
        <f>_xlfn.XLOOKUP(H31, 'Anexo A'!$E$1:$E$77, 'Anexo A'!$I$1:$I$77, "", 0)</f>
        <v>40065</v>
      </c>
      <c r="R31" s="1"/>
      <c r="Y31" s="22"/>
    </row>
    <row r="32" spans="1:25" ht="72" x14ac:dyDescent="0.2">
      <c r="A32" s="4">
        <v>738</v>
      </c>
      <c r="B32" s="5" t="s">
        <v>16</v>
      </c>
      <c r="C32" s="5" t="s">
        <v>149</v>
      </c>
      <c r="D32" s="5" t="s">
        <v>150</v>
      </c>
      <c r="E32" s="5">
        <v>5</v>
      </c>
      <c r="F32" s="6" t="s">
        <v>151</v>
      </c>
      <c r="G32" s="7">
        <v>9992771732</v>
      </c>
      <c r="H32" s="7" t="s">
        <v>152</v>
      </c>
      <c r="I32" s="5" t="s">
        <v>85</v>
      </c>
      <c r="J32" s="9" t="s">
        <v>164</v>
      </c>
      <c r="K32" s="9" t="s">
        <v>165</v>
      </c>
      <c r="L32" s="9" t="s">
        <v>166</v>
      </c>
      <c r="M32" s="9" t="s">
        <v>167</v>
      </c>
      <c r="N32" s="9" t="s">
        <v>168</v>
      </c>
      <c r="O32" s="5">
        <v>0</v>
      </c>
      <c r="P32" s="5">
        <v>1</v>
      </c>
      <c r="Q32" s="22">
        <f>_xlfn.XLOOKUP(H32, 'Anexo A'!$E$1:$E$77, 'Anexo A'!$I$1:$I$77, "", 0)</f>
        <v>40065</v>
      </c>
      <c r="R32" s="1"/>
      <c r="Y32" s="22"/>
    </row>
    <row r="33" spans="1:25" ht="72" x14ac:dyDescent="0.2">
      <c r="A33" s="4">
        <v>738</v>
      </c>
      <c r="B33" s="5" t="s">
        <v>16</v>
      </c>
      <c r="C33" s="5" t="s">
        <v>149</v>
      </c>
      <c r="D33" s="5" t="s">
        <v>150</v>
      </c>
      <c r="E33" s="5">
        <v>5</v>
      </c>
      <c r="F33" s="6" t="s">
        <v>151</v>
      </c>
      <c r="G33" s="7">
        <v>9992771732</v>
      </c>
      <c r="H33" s="7" t="s">
        <v>152</v>
      </c>
      <c r="I33" s="5" t="s">
        <v>85</v>
      </c>
      <c r="J33" s="9" t="s">
        <v>164</v>
      </c>
      <c r="K33" s="9" t="s">
        <v>165</v>
      </c>
      <c r="L33" s="9" t="s">
        <v>166</v>
      </c>
      <c r="M33" s="9" t="s">
        <v>169</v>
      </c>
      <c r="N33" s="9" t="s">
        <v>170</v>
      </c>
      <c r="O33" s="5">
        <v>0</v>
      </c>
      <c r="P33" s="5">
        <v>1</v>
      </c>
      <c r="Q33" s="22">
        <f>_xlfn.XLOOKUP(H33, 'Anexo A'!$E$1:$E$77, 'Anexo A'!$I$1:$I$77, "", 0)</f>
        <v>40065</v>
      </c>
      <c r="R33" s="1"/>
      <c r="Y33" s="22"/>
    </row>
    <row r="34" spans="1:25" ht="54" x14ac:dyDescent="0.2">
      <c r="A34" s="4">
        <v>738</v>
      </c>
      <c r="B34" s="5" t="s">
        <v>16</v>
      </c>
      <c r="C34" s="5" t="s">
        <v>171</v>
      </c>
      <c r="D34" s="5" t="s">
        <v>172</v>
      </c>
      <c r="E34" s="5">
        <v>6</v>
      </c>
      <c r="F34" s="6" t="s">
        <v>173</v>
      </c>
      <c r="G34" s="7">
        <v>9999810995</v>
      </c>
      <c r="H34" s="7" t="s">
        <v>174</v>
      </c>
      <c r="I34" s="5" t="s">
        <v>85</v>
      </c>
      <c r="J34" s="9">
        <v>20</v>
      </c>
      <c r="K34" s="9" t="s">
        <v>154</v>
      </c>
      <c r="L34" s="9" t="s">
        <v>175</v>
      </c>
      <c r="M34" s="9" t="s">
        <v>176</v>
      </c>
      <c r="N34" s="9" t="s">
        <v>177</v>
      </c>
      <c r="O34" s="5">
        <v>0</v>
      </c>
      <c r="P34" s="5">
        <v>1</v>
      </c>
      <c r="Q34" s="22">
        <f>_xlfn.XLOOKUP(H34, 'Anexo A'!$E$1:$E$77, 'Anexo A'!$I$1:$I$77, "", 0)</f>
        <v>40148</v>
      </c>
      <c r="R34" s="1"/>
      <c r="Y34" s="22"/>
    </row>
    <row r="35" spans="1:25" ht="54" x14ac:dyDescent="0.2">
      <c r="A35" s="4">
        <v>738</v>
      </c>
      <c r="B35" s="5" t="s">
        <v>16</v>
      </c>
      <c r="C35" s="5" t="s">
        <v>171</v>
      </c>
      <c r="D35" s="5" t="s">
        <v>172</v>
      </c>
      <c r="E35" s="5">
        <v>6</v>
      </c>
      <c r="F35" s="6" t="s">
        <v>173</v>
      </c>
      <c r="G35" s="7">
        <v>9999810995</v>
      </c>
      <c r="H35" s="7" t="s">
        <v>174</v>
      </c>
      <c r="I35" s="5" t="s">
        <v>85</v>
      </c>
      <c r="J35" s="9">
        <v>12</v>
      </c>
      <c r="K35" s="9" t="s">
        <v>154</v>
      </c>
      <c r="L35" s="9" t="s">
        <v>178</v>
      </c>
      <c r="M35" s="9" t="s">
        <v>179</v>
      </c>
      <c r="N35" s="9" t="s">
        <v>180</v>
      </c>
      <c r="O35" s="5">
        <v>0</v>
      </c>
      <c r="P35" s="5">
        <v>1</v>
      </c>
      <c r="Q35" s="22">
        <f>_xlfn.XLOOKUP(H35, 'Anexo A'!$E$1:$E$77, 'Anexo A'!$I$1:$I$77, "", 0)</f>
        <v>40148</v>
      </c>
      <c r="R35" s="1"/>
      <c r="Y35" s="22"/>
    </row>
    <row r="36" spans="1:25" ht="54" x14ac:dyDescent="0.2">
      <c r="A36" s="4">
        <v>738</v>
      </c>
      <c r="B36" s="5" t="s">
        <v>16</v>
      </c>
      <c r="C36" s="5" t="s">
        <v>171</v>
      </c>
      <c r="D36" s="5" t="s">
        <v>172</v>
      </c>
      <c r="E36" s="5">
        <v>6</v>
      </c>
      <c r="F36" s="6" t="s">
        <v>173</v>
      </c>
      <c r="G36" s="7">
        <v>9999810995</v>
      </c>
      <c r="H36" s="7" t="s">
        <v>174</v>
      </c>
      <c r="I36" s="5" t="s">
        <v>85</v>
      </c>
      <c r="J36" s="9" t="s">
        <v>164</v>
      </c>
      <c r="K36" s="9" t="s">
        <v>181</v>
      </c>
      <c r="L36" s="9" t="s">
        <v>182</v>
      </c>
      <c r="M36" s="9" t="s">
        <v>183</v>
      </c>
      <c r="N36" s="9" t="s">
        <v>184</v>
      </c>
      <c r="O36" s="5">
        <v>0</v>
      </c>
      <c r="P36" s="5">
        <v>1</v>
      </c>
      <c r="Q36" s="22">
        <f>_xlfn.XLOOKUP(H36, 'Anexo A'!$E$1:$E$77, 'Anexo A'!$I$1:$I$77, "", 0)</f>
        <v>40148</v>
      </c>
      <c r="R36" s="1"/>
      <c r="Y36" s="22"/>
    </row>
    <row r="37" spans="1:25" ht="54" x14ac:dyDescent="0.2">
      <c r="A37" s="4">
        <v>738</v>
      </c>
      <c r="B37" s="5" t="s">
        <v>16</v>
      </c>
      <c r="C37" s="5" t="s">
        <v>171</v>
      </c>
      <c r="D37" s="5" t="s">
        <v>172</v>
      </c>
      <c r="E37" s="5">
        <v>6</v>
      </c>
      <c r="F37" s="6" t="s">
        <v>173</v>
      </c>
      <c r="G37" s="7">
        <v>9999810995</v>
      </c>
      <c r="H37" s="7" t="s">
        <v>174</v>
      </c>
      <c r="I37" s="5" t="s">
        <v>57</v>
      </c>
      <c r="J37" s="9" t="s">
        <v>58</v>
      </c>
      <c r="K37" s="9" t="s">
        <v>185</v>
      </c>
      <c r="L37" s="9" t="s">
        <v>186</v>
      </c>
      <c r="M37" s="9" t="s">
        <v>187</v>
      </c>
      <c r="N37" s="9" t="s">
        <v>188</v>
      </c>
      <c r="O37" s="5">
        <v>0</v>
      </c>
      <c r="P37" s="5">
        <v>1</v>
      </c>
      <c r="Q37" s="22">
        <f>_xlfn.XLOOKUP(H37, 'Anexo A'!$E$1:$E$77, 'Anexo A'!$I$1:$I$77, "", 0)</f>
        <v>40148</v>
      </c>
      <c r="R37" s="1"/>
      <c r="Y37" s="22"/>
    </row>
    <row r="38" spans="1:25" ht="54" x14ac:dyDescent="0.2">
      <c r="A38" s="4">
        <v>738</v>
      </c>
      <c r="B38" s="5" t="s">
        <v>16</v>
      </c>
      <c r="C38" s="5" t="s">
        <v>171</v>
      </c>
      <c r="D38" s="5" t="s">
        <v>172</v>
      </c>
      <c r="E38" s="5">
        <v>6</v>
      </c>
      <c r="F38" s="6" t="s">
        <v>173</v>
      </c>
      <c r="G38" s="7">
        <v>9999810995</v>
      </c>
      <c r="H38" s="7" t="s">
        <v>174</v>
      </c>
      <c r="I38" s="5" t="s">
        <v>85</v>
      </c>
      <c r="J38" s="9" t="s">
        <v>164</v>
      </c>
      <c r="K38" s="9" t="s">
        <v>110</v>
      </c>
      <c r="L38" s="9" t="s">
        <v>189</v>
      </c>
      <c r="M38" s="9" t="s">
        <v>190</v>
      </c>
      <c r="N38" s="9" t="s">
        <v>191</v>
      </c>
      <c r="O38" s="5">
        <v>0</v>
      </c>
      <c r="P38" s="5">
        <v>1</v>
      </c>
      <c r="Q38" s="22">
        <f>_xlfn.XLOOKUP(H38, 'Anexo A'!$E$1:$E$77, 'Anexo A'!$I$1:$I$77, "", 0)</f>
        <v>40148</v>
      </c>
      <c r="R38" s="1"/>
      <c r="Y38" s="22"/>
    </row>
    <row r="39" spans="1:25" ht="54" x14ac:dyDescent="0.2">
      <c r="A39" s="4">
        <v>738</v>
      </c>
      <c r="B39" s="5" t="s">
        <v>16</v>
      </c>
      <c r="C39" s="5" t="s">
        <v>171</v>
      </c>
      <c r="D39" s="5" t="s">
        <v>172</v>
      </c>
      <c r="E39" s="5">
        <v>6</v>
      </c>
      <c r="F39" s="6" t="s">
        <v>173</v>
      </c>
      <c r="G39" s="7">
        <v>9999810995</v>
      </c>
      <c r="H39" s="7" t="s">
        <v>174</v>
      </c>
      <c r="I39" s="5" t="s">
        <v>57</v>
      </c>
      <c r="J39" s="9" t="s">
        <v>192</v>
      </c>
      <c r="K39" s="9" t="s">
        <v>193</v>
      </c>
      <c r="L39" s="9" t="s">
        <v>194</v>
      </c>
      <c r="M39" s="9" t="s">
        <v>195</v>
      </c>
      <c r="N39" s="9" t="s">
        <v>196</v>
      </c>
      <c r="O39" s="5">
        <v>0</v>
      </c>
      <c r="P39" s="5">
        <v>1</v>
      </c>
      <c r="Q39" s="22">
        <f>_xlfn.XLOOKUP(H39, 'Anexo A'!$E$1:$E$77, 'Anexo A'!$I$1:$I$77, "", 0)</f>
        <v>40148</v>
      </c>
      <c r="R39" s="1"/>
      <c r="Y39" s="22"/>
    </row>
    <row r="40" spans="1:25" ht="54" x14ac:dyDescent="0.2">
      <c r="A40" s="4">
        <v>738</v>
      </c>
      <c r="B40" s="5" t="s">
        <v>16</v>
      </c>
      <c r="C40" s="5" t="s">
        <v>171</v>
      </c>
      <c r="D40" s="5" t="s">
        <v>172</v>
      </c>
      <c r="E40" s="5">
        <v>6</v>
      </c>
      <c r="F40" s="6" t="s">
        <v>173</v>
      </c>
      <c r="G40" s="7">
        <v>9999810995</v>
      </c>
      <c r="H40" s="7" t="s">
        <v>174</v>
      </c>
      <c r="I40" s="5" t="s">
        <v>57</v>
      </c>
      <c r="J40" s="9" t="s">
        <v>192</v>
      </c>
      <c r="K40" s="9" t="s">
        <v>154</v>
      </c>
      <c r="L40" s="9" t="s">
        <v>197</v>
      </c>
      <c r="M40" s="9" t="s">
        <v>198</v>
      </c>
      <c r="N40" s="9" t="s">
        <v>199</v>
      </c>
      <c r="O40" s="5">
        <v>0</v>
      </c>
      <c r="P40" s="5">
        <v>1</v>
      </c>
      <c r="Q40" s="22">
        <f>_xlfn.XLOOKUP(H40, 'Anexo A'!$E$1:$E$77, 'Anexo A'!$I$1:$I$77, "", 0)</f>
        <v>40148</v>
      </c>
      <c r="R40" s="1"/>
      <c r="Y40" s="22"/>
    </row>
    <row r="41" spans="1:25" ht="72" x14ac:dyDescent="0.2">
      <c r="A41" s="4">
        <v>738</v>
      </c>
      <c r="B41" s="5" t="s">
        <v>16</v>
      </c>
      <c r="C41" s="5" t="s">
        <v>200</v>
      </c>
      <c r="D41" s="5" t="s">
        <v>201</v>
      </c>
      <c r="E41" s="5">
        <v>7</v>
      </c>
      <c r="F41" s="6" t="s">
        <v>202</v>
      </c>
      <c r="G41" s="7">
        <v>9381200721</v>
      </c>
      <c r="H41" s="7" t="s">
        <v>203</v>
      </c>
      <c r="I41" s="5" t="s">
        <v>57</v>
      </c>
      <c r="J41" s="9" t="s">
        <v>35</v>
      </c>
      <c r="K41" s="9" t="s">
        <v>154</v>
      </c>
      <c r="L41" s="9" t="s">
        <v>204</v>
      </c>
      <c r="M41" s="9" t="s">
        <v>205</v>
      </c>
      <c r="N41" s="9" t="s">
        <v>206</v>
      </c>
      <c r="O41" s="5">
        <v>0</v>
      </c>
      <c r="P41" s="5">
        <v>1</v>
      </c>
      <c r="Q41" s="22">
        <f>_xlfn.XLOOKUP(H41, 'Anexo A'!$E$1:$E$77, 'Anexo A'!$I$1:$I$77, "", 0)</f>
        <v>40452</v>
      </c>
      <c r="R41" s="1"/>
      <c r="Y41" s="22"/>
    </row>
    <row r="42" spans="1:25" ht="72" x14ac:dyDescent="0.2">
      <c r="A42" s="4">
        <v>738</v>
      </c>
      <c r="B42" s="5" t="s">
        <v>16</v>
      </c>
      <c r="C42" s="5" t="s">
        <v>200</v>
      </c>
      <c r="D42" s="5" t="s">
        <v>201</v>
      </c>
      <c r="E42" s="5">
        <v>7</v>
      </c>
      <c r="F42" s="6" t="s">
        <v>202</v>
      </c>
      <c r="G42" s="7">
        <v>9381200721</v>
      </c>
      <c r="H42" s="7" t="s">
        <v>203</v>
      </c>
      <c r="I42" s="5" t="s">
        <v>21</v>
      </c>
      <c r="J42" s="9" t="s">
        <v>207</v>
      </c>
      <c r="K42" s="9" t="s">
        <v>208</v>
      </c>
      <c r="L42" s="9" t="s">
        <v>209</v>
      </c>
      <c r="M42" s="9" t="s">
        <v>210</v>
      </c>
      <c r="N42" s="9" t="s">
        <v>211</v>
      </c>
      <c r="O42" s="5">
        <v>1</v>
      </c>
      <c r="P42" s="5">
        <v>0</v>
      </c>
      <c r="Q42" s="22">
        <f>_xlfn.XLOOKUP(H42, 'Anexo A'!$E$1:$E$77, 'Anexo A'!$I$1:$I$77, "", 0)</f>
        <v>40452</v>
      </c>
      <c r="R42" s="1"/>
      <c r="Y42" s="22"/>
    </row>
    <row r="43" spans="1:25" ht="72" x14ac:dyDescent="0.2">
      <c r="A43" s="4">
        <v>738</v>
      </c>
      <c r="B43" s="5" t="s">
        <v>16</v>
      </c>
      <c r="C43" s="5" t="s">
        <v>200</v>
      </c>
      <c r="D43" s="5" t="s">
        <v>201</v>
      </c>
      <c r="E43" s="5">
        <v>7</v>
      </c>
      <c r="F43" s="6" t="s">
        <v>202</v>
      </c>
      <c r="G43" s="7">
        <v>9381200721</v>
      </c>
      <c r="H43" s="7" t="s">
        <v>203</v>
      </c>
      <c r="I43" s="5" t="s">
        <v>57</v>
      </c>
      <c r="J43" s="9" t="s">
        <v>35</v>
      </c>
      <c r="K43" s="9" t="s">
        <v>23</v>
      </c>
      <c r="L43" s="9" t="s">
        <v>212</v>
      </c>
      <c r="M43" s="9" t="s">
        <v>213</v>
      </c>
      <c r="N43" s="9" t="s">
        <v>214</v>
      </c>
      <c r="O43" s="5">
        <v>0</v>
      </c>
      <c r="P43" s="5">
        <v>1</v>
      </c>
      <c r="Q43" s="22">
        <f>_xlfn.XLOOKUP(H43, 'Anexo A'!$E$1:$E$77, 'Anexo A'!$I$1:$I$77, "", 0)</f>
        <v>40452</v>
      </c>
      <c r="R43" s="1"/>
      <c r="Y43" s="22"/>
    </row>
    <row r="44" spans="1:25" ht="72" x14ac:dyDescent="0.2">
      <c r="A44" s="4">
        <v>738</v>
      </c>
      <c r="B44" s="5" t="s">
        <v>16</v>
      </c>
      <c r="C44" s="5" t="s">
        <v>200</v>
      </c>
      <c r="D44" s="5" t="s">
        <v>201</v>
      </c>
      <c r="E44" s="5">
        <v>7</v>
      </c>
      <c r="F44" s="6" t="s">
        <v>202</v>
      </c>
      <c r="G44" s="7">
        <v>9381200721</v>
      </c>
      <c r="H44" s="7" t="s">
        <v>203</v>
      </c>
      <c r="I44" s="5" t="s">
        <v>21</v>
      </c>
      <c r="J44" s="9" t="s">
        <v>35</v>
      </c>
      <c r="K44" s="9" t="s">
        <v>46</v>
      </c>
      <c r="L44" s="9" t="s">
        <v>215</v>
      </c>
      <c r="M44" s="9" t="s">
        <v>216</v>
      </c>
      <c r="N44" s="9" t="s">
        <v>217</v>
      </c>
      <c r="O44" s="5">
        <v>1</v>
      </c>
      <c r="P44" s="5">
        <v>0</v>
      </c>
      <c r="Q44" s="22">
        <f>_xlfn.XLOOKUP(H44, 'Anexo A'!$E$1:$E$77, 'Anexo A'!$I$1:$I$77, "", 0)</f>
        <v>40452</v>
      </c>
      <c r="R44" s="1"/>
      <c r="Y44" s="22"/>
    </row>
    <row r="45" spans="1:25" ht="72" x14ac:dyDescent="0.2">
      <c r="A45" s="4">
        <v>738</v>
      </c>
      <c r="B45" s="5" t="s">
        <v>16</v>
      </c>
      <c r="C45" s="5" t="s">
        <v>200</v>
      </c>
      <c r="D45" s="5" t="s">
        <v>201</v>
      </c>
      <c r="E45" s="5">
        <v>7</v>
      </c>
      <c r="F45" s="6" t="s">
        <v>202</v>
      </c>
      <c r="G45" s="7">
        <v>9381200721</v>
      </c>
      <c r="H45" s="7" t="s">
        <v>203</v>
      </c>
      <c r="I45" s="5" t="s">
        <v>21</v>
      </c>
      <c r="J45" s="9" t="s">
        <v>218</v>
      </c>
      <c r="K45" s="9" t="s">
        <v>53</v>
      </c>
      <c r="L45" s="9" t="s">
        <v>54</v>
      </c>
      <c r="M45" s="9" t="s">
        <v>219</v>
      </c>
      <c r="N45" s="9" t="s">
        <v>220</v>
      </c>
      <c r="O45" s="5">
        <v>1</v>
      </c>
      <c r="P45" s="5">
        <v>0</v>
      </c>
      <c r="Q45" s="22">
        <f>_xlfn.XLOOKUP(H45, 'Anexo A'!$E$1:$E$77, 'Anexo A'!$I$1:$I$77, "", 0)</f>
        <v>40452</v>
      </c>
      <c r="R45" s="1"/>
      <c r="Y45" s="22"/>
    </row>
    <row r="46" spans="1:25" ht="72" x14ac:dyDescent="0.2">
      <c r="A46" s="4">
        <v>738</v>
      </c>
      <c r="B46" s="5" t="s">
        <v>16</v>
      </c>
      <c r="C46" s="5" t="s">
        <v>200</v>
      </c>
      <c r="D46" s="5" t="s">
        <v>201</v>
      </c>
      <c r="E46" s="5">
        <v>7</v>
      </c>
      <c r="F46" s="6" t="s">
        <v>202</v>
      </c>
      <c r="G46" s="7">
        <v>9381200721</v>
      </c>
      <c r="H46" s="7" t="s">
        <v>203</v>
      </c>
      <c r="I46" s="5" t="s">
        <v>21</v>
      </c>
      <c r="J46" s="9" t="s">
        <v>221</v>
      </c>
      <c r="K46" s="9" t="s">
        <v>222</v>
      </c>
      <c r="L46" s="9" t="s">
        <v>223</v>
      </c>
      <c r="M46" s="9" t="s">
        <v>224</v>
      </c>
      <c r="N46" s="9" t="s">
        <v>225</v>
      </c>
      <c r="O46" s="5">
        <v>1</v>
      </c>
      <c r="P46" s="5">
        <v>0</v>
      </c>
      <c r="Q46" s="22">
        <f>_xlfn.XLOOKUP(H46, 'Anexo A'!$E$1:$E$77, 'Anexo A'!$I$1:$I$77, "", 0)</f>
        <v>40452</v>
      </c>
      <c r="R46" s="1"/>
      <c r="Y46" s="22"/>
    </row>
    <row r="47" spans="1:25" ht="72" x14ac:dyDescent="0.2">
      <c r="A47" s="4">
        <v>738</v>
      </c>
      <c r="B47" s="5" t="s">
        <v>16</v>
      </c>
      <c r="C47" s="5" t="s">
        <v>200</v>
      </c>
      <c r="D47" s="5" t="s">
        <v>201</v>
      </c>
      <c r="E47" s="5">
        <v>7</v>
      </c>
      <c r="F47" s="6" t="s">
        <v>202</v>
      </c>
      <c r="G47" s="7">
        <v>9381200721</v>
      </c>
      <c r="H47" s="7" t="s">
        <v>203</v>
      </c>
      <c r="I47" s="5" t="s">
        <v>21</v>
      </c>
      <c r="J47" s="9" t="s">
        <v>226</v>
      </c>
      <c r="K47" s="9" t="s">
        <v>23</v>
      </c>
      <c r="L47" s="9" t="s">
        <v>227</v>
      </c>
      <c r="M47" s="9" t="s">
        <v>228</v>
      </c>
      <c r="N47" s="9" t="s">
        <v>229</v>
      </c>
      <c r="O47" s="5">
        <v>1</v>
      </c>
      <c r="P47" s="5">
        <v>0</v>
      </c>
      <c r="Q47" s="22">
        <f>_xlfn.XLOOKUP(H47, 'Anexo A'!$E$1:$E$77, 'Anexo A'!$I$1:$I$77, "", 0)</f>
        <v>40452</v>
      </c>
      <c r="R47" s="1"/>
      <c r="Y47" s="22"/>
    </row>
    <row r="48" spans="1:25" ht="72" x14ac:dyDescent="0.2">
      <c r="A48" s="4">
        <v>738</v>
      </c>
      <c r="B48" s="5" t="s">
        <v>16</v>
      </c>
      <c r="C48" s="5" t="s">
        <v>200</v>
      </c>
      <c r="D48" s="5" t="s">
        <v>201</v>
      </c>
      <c r="E48" s="5">
        <v>7</v>
      </c>
      <c r="F48" s="6" t="s">
        <v>202</v>
      </c>
      <c r="G48" s="7">
        <v>9381200721</v>
      </c>
      <c r="H48" s="7" t="s">
        <v>203</v>
      </c>
      <c r="I48" s="5" t="s">
        <v>85</v>
      </c>
      <c r="J48" s="9" t="s">
        <v>164</v>
      </c>
      <c r="K48" s="9" t="s">
        <v>92</v>
      </c>
      <c r="L48" s="9" t="s">
        <v>230</v>
      </c>
      <c r="M48" s="9" t="s">
        <v>231</v>
      </c>
      <c r="N48" s="9" t="s">
        <v>232</v>
      </c>
      <c r="O48" s="5">
        <v>0</v>
      </c>
      <c r="P48" s="5">
        <v>1</v>
      </c>
      <c r="Q48" s="22">
        <f>_xlfn.XLOOKUP(H48, 'Anexo A'!$E$1:$E$77, 'Anexo A'!$I$1:$I$77, "", 0)</f>
        <v>40452</v>
      </c>
      <c r="R48" s="1"/>
      <c r="Y48" s="22"/>
    </row>
    <row r="49" spans="1:25" ht="72" x14ac:dyDescent="0.2">
      <c r="A49" s="4">
        <v>738</v>
      </c>
      <c r="B49" s="5" t="s">
        <v>16</v>
      </c>
      <c r="C49" s="5" t="s">
        <v>200</v>
      </c>
      <c r="D49" s="5" t="s">
        <v>201</v>
      </c>
      <c r="E49" s="5">
        <v>7</v>
      </c>
      <c r="F49" s="6" t="s">
        <v>202</v>
      </c>
      <c r="G49" s="7">
        <v>9381200721</v>
      </c>
      <c r="H49" s="7" t="s">
        <v>203</v>
      </c>
      <c r="I49" s="5" t="s">
        <v>57</v>
      </c>
      <c r="J49" s="9" t="s">
        <v>35</v>
      </c>
      <c r="K49" s="9" t="s">
        <v>233</v>
      </c>
      <c r="L49" s="9" t="s">
        <v>234</v>
      </c>
      <c r="M49" s="9" t="s">
        <v>235</v>
      </c>
      <c r="N49" s="9" t="s">
        <v>236</v>
      </c>
      <c r="O49" s="5">
        <v>0</v>
      </c>
      <c r="P49" s="5">
        <v>1</v>
      </c>
      <c r="Q49" s="22">
        <f>_xlfn.XLOOKUP(H49, 'Anexo A'!$E$1:$E$77, 'Anexo A'!$I$1:$I$77, "", 0)</f>
        <v>40452</v>
      </c>
      <c r="R49" s="1"/>
      <c r="Y49" s="22"/>
    </row>
    <row r="50" spans="1:25" ht="72" x14ac:dyDescent="0.2">
      <c r="A50" s="4">
        <v>738</v>
      </c>
      <c r="B50" s="5" t="s">
        <v>16</v>
      </c>
      <c r="C50" s="5" t="s">
        <v>200</v>
      </c>
      <c r="D50" s="5" t="s">
        <v>201</v>
      </c>
      <c r="E50" s="5">
        <v>7</v>
      </c>
      <c r="F50" s="6" t="s">
        <v>202</v>
      </c>
      <c r="G50" s="7">
        <v>9381200721</v>
      </c>
      <c r="H50" s="7" t="s">
        <v>203</v>
      </c>
      <c r="I50" s="5" t="s">
        <v>57</v>
      </c>
      <c r="J50" s="9" t="s">
        <v>237</v>
      </c>
      <c r="K50" s="9" t="s">
        <v>23</v>
      </c>
      <c r="L50" s="9" t="s">
        <v>238</v>
      </c>
      <c r="M50" s="9" t="s">
        <v>239</v>
      </c>
      <c r="N50" s="9" t="s">
        <v>240</v>
      </c>
      <c r="O50" s="5">
        <v>0</v>
      </c>
      <c r="P50" s="5">
        <v>1</v>
      </c>
      <c r="Q50" s="22">
        <f>_xlfn.XLOOKUP(H50, 'Anexo A'!$E$1:$E$77, 'Anexo A'!$I$1:$I$77, "", 0)</f>
        <v>40452</v>
      </c>
      <c r="R50" s="1"/>
      <c r="Y50" s="22"/>
    </row>
    <row r="51" spans="1:25" ht="54" x14ac:dyDescent="0.2">
      <c r="A51" s="4">
        <v>738</v>
      </c>
      <c r="B51" s="5" t="s">
        <v>16</v>
      </c>
      <c r="C51" s="5" t="s">
        <v>241</v>
      </c>
      <c r="D51" s="5" t="s">
        <v>242</v>
      </c>
      <c r="E51" s="5">
        <v>8</v>
      </c>
      <c r="F51" s="13" t="s">
        <v>243</v>
      </c>
      <c r="G51" s="7">
        <v>9999258499</v>
      </c>
      <c r="H51" s="7" t="s">
        <v>244</v>
      </c>
      <c r="I51" s="5" t="s">
        <v>57</v>
      </c>
      <c r="J51" s="9" t="s">
        <v>58</v>
      </c>
      <c r="K51" s="9" t="s">
        <v>245</v>
      </c>
      <c r="L51" s="9" t="s">
        <v>246</v>
      </c>
      <c r="M51" s="9" t="s">
        <v>247</v>
      </c>
      <c r="N51" s="9" t="s">
        <v>248</v>
      </c>
      <c r="O51" s="5">
        <v>0</v>
      </c>
      <c r="P51" s="5">
        <v>1</v>
      </c>
      <c r="Q51" s="22">
        <f>_xlfn.XLOOKUP(H51, 'Anexo A'!$E$1:$E$77, 'Anexo A'!$I$1:$I$77, "", 0)</f>
        <v>40631</v>
      </c>
      <c r="R51" s="1"/>
      <c r="Y51" s="22"/>
    </row>
    <row r="52" spans="1:25" ht="54" x14ac:dyDescent="0.2">
      <c r="A52" s="4">
        <v>738</v>
      </c>
      <c r="B52" s="5" t="s">
        <v>16</v>
      </c>
      <c r="C52" s="5" t="s">
        <v>241</v>
      </c>
      <c r="D52" s="5" t="s">
        <v>242</v>
      </c>
      <c r="E52" s="5">
        <v>8</v>
      </c>
      <c r="F52" s="13" t="s">
        <v>243</v>
      </c>
      <c r="G52" s="7">
        <v>9999258499</v>
      </c>
      <c r="H52" s="7" t="s">
        <v>244</v>
      </c>
      <c r="I52" s="5" t="s">
        <v>57</v>
      </c>
      <c r="J52" s="9" t="s">
        <v>249</v>
      </c>
      <c r="K52" s="9" t="s">
        <v>23</v>
      </c>
      <c r="L52" s="9" t="s">
        <v>250</v>
      </c>
      <c r="M52" s="9" t="s">
        <v>251</v>
      </c>
      <c r="N52" s="9" t="s">
        <v>252</v>
      </c>
      <c r="O52" s="5">
        <v>0</v>
      </c>
      <c r="P52" s="5">
        <v>1</v>
      </c>
      <c r="Q52" s="22">
        <f>_xlfn.XLOOKUP(H52, 'Anexo A'!$E$1:$E$77, 'Anexo A'!$I$1:$I$77, "", 0)</f>
        <v>40631</v>
      </c>
      <c r="R52" s="1"/>
      <c r="Y52" s="22"/>
    </row>
    <row r="53" spans="1:25" ht="54" x14ac:dyDescent="0.2">
      <c r="A53" s="4">
        <v>738</v>
      </c>
      <c r="B53" s="5" t="s">
        <v>16</v>
      </c>
      <c r="C53" s="5" t="s">
        <v>241</v>
      </c>
      <c r="D53" s="5" t="s">
        <v>242</v>
      </c>
      <c r="E53" s="5">
        <v>8</v>
      </c>
      <c r="F53" s="13" t="s">
        <v>243</v>
      </c>
      <c r="G53" s="7">
        <v>9999258499</v>
      </c>
      <c r="H53" s="7" t="s">
        <v>244</v>
      </c>
      <c r="I53" s="5" t="s">
        <v>57</v>
      </c>
      <c r="J53" s="9" t="s">
        <v>253</v>
      </c>
      <c r="K53" s="9" t="s">
        <v>158</v>
      </c>
      <c r="L53" s="9" t="s">
        <v>254</v>
      </c>
      <c r="M53" s="9" t="s">
        <v>255</v>
      </c>
      <c r="N53" s="9" t="s">
        <v>256</v>
      </c>
      <c r="O53" s="5">
        <v>0</v>
      </c>
      <c r="P53" s="5">
        <v>1</v>
      </c>
      <c r="Q53" s="22">
        <f>_xlfn.XLOOKUP(H53, 'Anexo A'!$E$1:$E$77, 'Anexo A'!$I$1:$I$77, "", 0)</f>
        <v>40631</v>
      </c>
      <c r="R53" s="1"/>
      <c r="Y53" s="22"/>
    </row>
    <row r="54" spans="1:25" ht="54" x14ac:dyDescent="0.2">
      <c r="A54" s="4">
        <v>738</v>
      </c>
      <c r="B54" s="5" t="s">
        <v>16</v>
      </c>
      <c r="C54" s="5" t="s">
        <v>241</v>
      </c>
      <c r="D54" s="5" t="s">
        <v>242</v>
      </c>
      <c r="E54" s="5">
        <v>8</v>
      </c>
      <c r="F54" s="13" t="s">
        <v>243</v>
      </c>
      <c r="G54" s="7">
        <v>9999258499</v>
      </c>
      <c r="H54" s="7" t="s">
        <v>244</v>
      </c>
      <c r="I54" s="5" t="s">
        <v>57</v>
      </c>
      <c r="J54" s="9" t="s">
        <v>257</v>
      </c>
      <c r="K54" s="9" t="s">
        <v>154</v>
      </c>
      <c r="L54" s="9" t="s">
        <v>197</v>
      </c>
      <c r="M54" s="9" t="s">
        <v>258</v>
      </c>
      <c r="N54" s="9" t="s">
        <v>259</v>
      </c>
      <c r="O54" s="5">
        <v>0</v>
      </c>
      <c r="P54" s="5">
        <v>1</v>
      </c>
      <c r="Q54" s="22">
        <f>_xlfn.XLOOKUP(H54, 'Anexo A'!$E$1:$E$77, 'Anexo A'!$I$1:$I$77, "", 0)</f>
        <v>40631</v>
      </c>
      <c r="R54" s="1"/>
      <c r="Y54" s="22"/>
    </row>
    <row r="55" spans="1:25" ht="54" x14ac:dyDescent="0.2">
      <c r="A55" s="4">
        <v>738</v>
      </c>
      <c r="B55" s="5" t="s">
        <v>16</v>
      </c>
      <c r="C55" s="5" t="s">
        <v>260</v>
      </c>
      <c r="D55" s="5" t="s">
        <v>261</v>
      </c>
      <c r="E55" s="5">
        <v>9</v>
      </c>
      <c r="F55" s="13" t="s">
        <v>262</v>
      </c>
      <c r="G55" s="12" t="s">
        <v>263</v>
      </c>
      <c r="H55" s="7" t="s">
        <v>264</v>
      </c>
      <c r="I55" s="5" t="s">
        <v>85</v>
      </c>
      <c r="J55" s="9" t="s">
        <v>109</v>
      </c>
      <c r="K55" s="9" t="s">
        <v>158</v>
      </c>
      <c r="L55" s="9" t="s">
        <v>265</v>
      </c>
      <c r="M55" s="9" t="s">
        <v>266</v>
      </c>
      <c r="N55" s="9" t="s">
        <v>267</v>
      </c>
      <c r="O55" s="5">
        <v>0</v>
      </c>
      <c r="P55" s="5">
        <v>1</v>
      </c>
      <c r="Q55" s="22">
        <f>_xlfn.XLOOKUP(H55, 'Anexo A'!$E$1:$E$77, 'Anexo A'!$I$1:$I$77, "", 0)</f>
        <v>44456</v>
      </c>
      <c r="R55" s="1"/>
      <c r="Y55" s="22"/>
    </row>
    <row r="56" spans="1:25" ht="54" x14ac:dyDescent="0.2">
      <c r="A56" s="4">
        <v>738</v>
      </c>
      <c r="B56" s="5" t="s">
        <v>16</v>
      </c>
      <c r="C56" s="5" t="s">
        <v>260</v>
      </c>
      <c r="D56" s="5" t="s">
        <v>261</v>
      </c>
      <c r="E56" s="5">
        <v>9</v>
      </c>
      <c r="F56" s="13" t="s">
        <v>262</v>
      </c>
      <c r="G56" s="12" t="s">
        <v>263</v>
      </c>
      <c r="H56" s="7" t="s">
        <v>264</v>
      </c>
      <c r="I56" s="5" t="s">
        <v>57</v>
      </c>
      <c r="J56" s="9" t="s">
        <v>49</v>
      </c>
      <c r="K56" s="9" t="s">
        <v>185</v>
      </c>
      <c r="L56" s="9" t="s">
        <v>268</v>
      </c>
      <c r="M56" s="9" t="s">
        <v>269</v>
      </c>
      <c r="N56" s="9" t="s">
        <v>270</v>
      </c>
      <c r="O56" s="5">
        <v>0</v>
      </c>
      <c r="P56" s="5">
        <v>1</v>
      </c>
      <c r="Q56" s="22">
        <f>_xlfn.XLOOKUP(H56, 'Anexo A'!$E$1:$E$77, 'Anexo A'!$I$1:$I$77, "", 0)</f>
        <v>44456</v>
      </c>
      <c r="R56" s="1"/>
      <c r="Y56" s="22"/>
    </row>
    <row r="57" spans="1:25" ht="54" x14ac:dyDescent="0.2">
      <c r="A57" s="4">
        <v>738</v>
      </c>
      <c r="B57" s="5" t="s">
        <v>16</v>
      </c>
      <c r="C57" s="5" t="s">
        <v>260</v>
      </c>
      <c r="D57" s="5" t="s">
        <v>261</v>
      </c>
      <c r="E57" s="5">
        <v>9</v>
      </c>
      <c r="F57" s="13" t="s">
        <v>262</v>
      </c>
      <c r="G57" s="12" t="s">
        <v>263</v>
      </c>
      <c r="H57" s="7" t="s">
        <v>264</v>
      </c>
      <c r="I57" s="5" t="s">
        <v>57</v>
      </c>
      <c r="J57" s="9" t="s">
        <v>271</v>
      </c>
      <c r="K57" s="9" t="s">
        <v>154</v>
      </c>
      <c r="L57" s="9" t="s">
        <v>197</v>
      </c>
      <c r="M57" s="9" t="s">
        <v>272</v>
      </c>
      <c r="N57" s="9" t="s">
        <v>273</v>
      </c>
      <c r="O57" s="5">
        <v>0</v>
      </c>
      <c r="P57" s="5">
        <v>1</v>
      </c>
      <c r="Q57" s="22">
        <f>_xlfn.XLOOKUP(H57, 'Anexo A'!$E$1:$E$77, 'Anexo A'!$I$1:$I$77, "", 0)</f>
        <v>44456</v>
      </c>
      <c r="R57" s="1"/>
      <c r="Y57" s="22"/>
    </row>
    <row r="58" spans="1:25" ht="54" x14ac:dyDescent="0.2">
      <c r="A58" s="4">
        <v>738</v>
      </c>
      <c r="B58" s="5" t="s">
        <v>16</v>
      </c>
      <c r="C58" s="5" t="s">
        <v>260</v>
      </c>
      <c r="D58" s="5" t="s">
        <v>261</v>
      </c>
      <c r="E58" s="5">
        <v>9</v>
      </c>
      <c r="F58" s="13" t="s">
        <v>262</v>
      </c>
      <c r="G58" s="12" t="s">
        <v>263</v>
      </c>
      <c r="H58" s="7" t="s">
        <v>264</v>
      </c>
      <c r="I58" s="5" t="s">
        <v>85</v>
      </c>
      <c r="J58" s="9" t="s">
        <v>164</v>
      </c>
      <c r="K58" s="9" t="s">
        <v>86</v>
      </c>
      <c r="L58" s="9" t="s">
        <v>274</v>
      </c>
      <c r="M58" s="9" t="s">
        <v>275</v>
      </c>
      <c r="N58" s="9" t="s">
        <v>276</v>
      </c>
      <c r="O58" s="5">
        <v>0</v>
      </c>
      <c r="P58" s="5">
        <v>1</v>
      </c>
      <c r="Q58" s="22">
        <f>_xlfn.XLOOKUP(H58, 'Anexo A'!$E$1:$E$77, 'Anexo A'!$I$1:$I$77, "", 0)</f>
        <v>44456</v>
      </c>
      <c r="R58" s="1"/>
      <c r="Y58" s="22"/>
    </row>
    <row r="59" spans="1:25" ht="54" x14ac:dyDescent="0.2">
      <c r="A59" s="4">
        <v>738</v>
      </c>
      <c r="B59" s="5" t="s">
        <v>16</v>
      </c>
      <c r="C59" s="5" t="s">
        <v>260</v>
      </c>
      <c r="D59" s="5" t="s">
        <v>261</v>
      </c>
      <c r="E59" s="5">
        <v>9</v>
      </c>
      <c r="F59" s="13" t="s">
        <v>262</v>
      </c>
      <c r="G59" s="12" t="s">
        <v>263</v>
      </c>
      <c r="H59" s="7" t="s">
        <v>264</v>
      </c>
      <c r="I59" s="5" t="s">
        <v>85</v>
      </c>
      <c r="J59" s="9" t="s">
        <v>164</v>
      </c>
      <c r="K59" s="9" t="s">
        <v>110</v>
      </c>
      <c r="L59" s="9" t="s">
        <v>277</v>
      </c>
      <c r="M59" s="9" t="s">
        <v>278</v>
      </c>
      <c r="N59" s="9" t="s">
        <v>279</v>
      </c>
      <c r="O59" s="5">
        <v>0</v>
      </c>
      <c r="P59" s="5">
        <v>1</v>
      </c>
      <c r="Q59" s="22">
        <f>_xlfn.XLOOKUP(H59, 'Anexo A'!$E$1:$E$77, 'Anexo A'!$I$1:$I$77, "", 0)</f>
        <v>44456</v>
      </c>
      <c r="R59" s="1"/>
      <c r="Y59" s="22"/>
    </row>
    <row r="60" spans="1:25" ht="54" x14ac:dyDescent="0.2">
      <c r="A60" s="4">
        <v>738</v>
      </c>
      <c r="B60" s="5" t="s">
        <v>16</v>
      </c>
      <c r="C60" s="5" t="s">
        <v>260</v>
      </c>
      <c r="D60" s="5" t="s">
        <v>261</v>
      </c>
      <c r="E60" s="5">
        <v>9</v>
      </c>
      <c r="F60" s="13" t="s">
        <v>262</v>
      </c>
      <c r="G60" s="12" t="s">
        <v>263</v>
      </c>
      <c r="H60" s="7" t="s">
        <v>264</v>
      </c>
      <c r="I60" s="5" t="s">
        <v>21</v>
      </c>
      <c r="J60" s="9" t="s">
        <v>280</v>
      </c>
      <c r="K60" s="9" t="s">
        <v>281</v>
      </c>
      <c r="L60" s="9" t="s">
        <v>282</v>
      </c>
      <c r="M60" s="9" t="s">
        <v>283</v>
      </c>
      <c r="N60" s="9" t="s">
        <v>284</v>
      </c>
      <c r="O60" s="5">
        <v>1</v>
      </c>
      <c r="P60" s="5">
        <v>0</v>
      </c>
      <c r="Q60" s="22">
        <f>_xlfn.XLOOKUP(H60, 'Anexo A'!$E$1:$E$77, 'Anexo A'!$I$1:$I$77, "", 0)</f>
        <v>44456</v>
      </c>
      <c r="R60" s="1"/>
      <c r="Y60" s="22"/>
    </row>
    <row r="61" spans="1:25" ht="54" x14ac:dyDescent="0.2">
      <c r="A61" s="4">
        <v>738</v>
      </c>
      <c r="B61" s="5" t="s">
        <v>16</v>
      </c>
      <c r="C61" s="5" t="s">
        <v>285</v>
      </c>
      <c r="D61" s="14" t="s">
        <v>286</v>
      </c>
      <c r="E61" s="5">
        <v>10</v>
      </c>
      <c r="F61" s="13" t="s">
        <v>287</v>
      </c>
      <c r="G61" s="7">
        <v>5554388308</v>
      </c>
      <c r="H61" s="7" t="s">
        <v>288</v>
      </c>
      <c r="I61" s="5" t="s">
        <v>57</v>
      </c>
      <c r="J61" s="9" t="s">
        <v>35</v>
      </c>
      <c r="K61" s="9" t="s">
        <v>92</v>
      </c>
      <c r="L61" s="9" t="s">
        <v>289</v>
      </c>
      <c r="M61" s="9" t="s">
        <v>290</v>
      </c>
      <c r="N61" s="9" t="s">
        <v>291</v>
      </c>
      <c r="O61" s="5">
        <v>0</v>
      </c>
      <c r="P61" s="5">
        <v>1</v>
      </c>
      <c r="Q61" s="22">
        <f>_xlfn.XLOOKUP(H61, 'Anexo A'!$E$1:$E$77, 'Anexo A'!$I$1:$I$77, "", 0)</f>
        <v>40749</v>
      </c>
      <c r="R61" s="1"/>
      <c r="Y61" s="22"/>
    </row>
    <row r="62" spans="1:25" ht="54" x14ac:dyDescent="0.2">
      <c r="A62" s="4">
        <v>738</v>
      </c>
      <c r="B62" s="5" t="s">
        <v>16</v>
      </c>
      <c r="C62" s="5" t="s">
        <v>285</v>
      </c>
      <c r="D62" s="14" t="s">
        <v>286</v>
      </c>
      <c r="E62" s="5">
        <v>10</v>
      </c>
      <c r="F62" s="13" t="s">
        <v>287</v>
      </c>
      <c r="G62" s="7">
        <v>5554388308</v>
      </c>
      <c r="H62" s="7" t="s">
        <v>288</v>
      </c>
      <c r="I62" s="5" t="s">
        <v>57</v>
      </c>
      <c r="J62" s="9" t="s">
        <v>35</v>
      </c>
      <c r="K62" s="9" t="s">
        <v>92</v>
      </c>
      <c r="L62" s="9" t="s">
        <v>292</v>
      </c>
      <c r="M62" s="9" t="s">
        <v>197</v>
      </c>
      <c r="N62" s="9" t="s">
        <v>293</v>
      </c>
      <c r="O62" s="5">
        <v>0</v>
      </c>
      <c r="P62" s="5">
        <v>1</v>
      </c>
      <c r="Q62" s="22">
        <f>_xlfn.XLOOKUP(H62, 'Anexo A'!$E$1:$E$77, 'Anexo A'!$I$1:$I$77, "", 0)</f>
        <v>40749</v>
      </c>
      <c r="R62" s="1"/>
      <c r="Y62" s="22"/>
    </row>
    <row r="63" spans="1:25" ht="54" x14ac:dyDescent="0.2">
      <c r="A63" s="4">
        <v>738</v>
      </c>
      <c r="B63" s="5" t="s">
        <v>16</v>
      </c>
      <c r="C63" s="5" t="s">
        <v>285</v>
      </c>
      <c r="D63" s="14" t="s">
        <v>286</v>
      </c>
      <c r="E63" s="5">
        <v>10</v>
      </c>
      <c r="F63" s="13" t="s">
        <v>287</v>
      </c>
      <c r="G63" s="7">
        <v>5554388308</v>
      </c>
      <c r="H63" s="7" t="s">
        <v>288</v>
      </c>
      <c r="I63" s="5" t="s">
        <v>72</v>
      </c>
      <c r="J63" s="9" t="s">
        <v>35</v>
      </c>
      <c r="K63" s="9" t="s">
        <v>50</v>
      </c>
      <c r="L63" s="9" t="s">
        <v>294</v>
      </c>
      <c r="M63" s="9" t="s">
        <v>295</v>
      </c>
      <c r="N63" s="9" t="s">
        <v>296</v>
      </c>
      <c r="O63" s="5">
        <v>1</v>
      </c>
      <c r="P63" s="5">
        <v>0</v>
      </c>
      <c r="Q63" s="22">
        <f>_xlfn.XLOOKUP(H63, 'Anexo A'!$E$1:$E$77, 'Anexo A'!$I$1:$I$77, "", 0)</f>
        <v>40749</v>
      </c>
      <c r="R63" s="1"/>
      <c r="Y63" s="22"/>
    </row>
    <row r="64" spans="1:25" ht="54" x14ac:dyDescent="0.2">
      <c r="A64" s="4">
        <v>738</v>
      </c>
      <c r="B64" s="5" t="s">
        <v>16</v>
      </c>
      <c r="C64" s="5" t="s">
        <v>285</v>
      </c>
      <c r="D64" s="14" t="s">
        <v>286</v>
      </c>
      <c r="E64" s="5">
        <v>10</v>
      </c>
      <c r="F64" s="13" t="s">
        <v>287</v>
      </c>
      <c r="G64" s="7">
        <v>5554388308</v>
      </c>
      <c r="H64" s="7" t="s">
        <v>288</v>
      </c>
      <c r="I64" s="5" t="s">
        <v>72</v>
      </c>
      <c r="J64" s="9" t="s">
        <v>35</v>
      </c>
      <c r="K64" s="9" t="s">
        <v>50</v>
      </c>
      <c r="L64" s="9" t="s">
        <v>297</v>
      </c>
      <c r="M64" s="9" t="s">
        <v>298</v>
      </c>
      <c r="N64" s="9" t="s">
        <v>299</v>
      </c>
      <c r="O64" s="5">
        <v>1</v>
      </c>
      <c r="P64" s="5">
        <v>0</v>
      </c>
      <c r="Q64" s="22">
        <f>_xlfn.XLOOKUP(H64, 'Anexo A'!$E$1:$E$77, 'Anexo A'!$I$1:$I$77, "", 0)</f>
        <v>40749</v>
      </c>
      <c r="R64" s="1"/>
      <c r="Y64" s="22"/>
    </row>
    <row r="65" spans="1:25" ht="54" x14ac:dyDescent="0.2">
      <c r="A65" s="4">
        <v>738</v>
      </c>
      <c r="B65" s="5" t="s">
        <v>16</v>
      </c>
      <c r="C65" s="5" t="s">
        <v>285</v>
      </c>
      <c r="D65" s="14" t="s">
        <v>286</v>
      </c>
      <c r="E65" s="5">
        <v>10</v>
      </c>
      <c r="F65" s="13" t="s">
        <v>287</v>
      </c>
      <c r="G65" s="7">
        <v>5554388308</v>
      </c>
      <c r="H65" s="7" t="s">
        <v>288</v>
      </c>
      <c r="I65" s="5" t="s">
        <v>72</v>
      </c>
      <c r="J65" s="9" t="s">
        <v>300</v>
      </c>
      <c r="K65" s="9" t="s">
        <v>50</v>
      </c>
      <c r="L65" s="9" t="s">
        <v>97</v>
      </c>
      <c r="M65" s="9" t="s">
        <v>301</v>
      </c>
      <c r="N65" s="9" t="s">
        <v>302</v>
      </c>
      <c r="O65" s="5">
        <v>1</v>
      </c>
      <c r="P65" s="5">
        <v>0</v>
      </c>
      <c r="Q65" s="22">
        <f>_xlfn.XLOOKUP(H65, 'Anexo A'!$E$1:$E$77, 'Anexo A'!$I$1:$I$77, "", 0)</f>
        <v>40749</v>
      </c>
      <c r="R65" s="1"/>
      <c r="Y65" s="22"/>
    </row>
    <row r="66" spans="1:25" ht="54" x14ac:dyDescent="0.2">
      <c r="A66" s="4">
        <v>738</v>
      </c>
      <c r="B66" s="5" t="s">
        <v>16</v>
      </c>
      <c r="C66" s="5" t="s">
        <v>285</v>
      </c>
      <c r="D66" s="14" t="s">
        <v>286</v>
      </c>
      <c r="E66" s="5">
        <v>10</v>
      </c>
      <c r="F66" s="13" t="s">
        <v>287</v>
      </c>
      <c r="G66" s="7">
        <v>5554388308</v>
      </c>
      <c r="H66" s="7" t="s">
        <v>288</v>
      </c>
      <c r="I66" s="5" t="s">
        <v>21</v>
      </c>
      <c r="J66" s="9" t="s">
        <v>303</v>
      </c>
      <c r="K66" s="9" t="s">
        <v>46</v>
      </c>
      <c r="L66" s="9" t="s">
        <v>304</v>
      </c>
      <c r="M66" s="9" t="s">
        <v>305</v>
      </c>
      <c r="N66" s="9" t="s">
        <v>306</v>
      </c>
      <c r="O66" s="5">
        <v>1</v>
      </c>
      <c r="P66" s="5">
        <v>0</v>
      </c>
      <c r="Q66" s="22">
        <f>_xlfn.XLOOKUP(H66, 'Anexo A'!$E$1:$E$77, 'Anexo A'!$I$1:$I$77, "", 0)</f>
        <v>40749</v>
      </c>
      <c r="R66" s="1"/>
      <c r="Y66" s="22"/>
    </row>
    <row r="67" spans="1:25" ht="54" x14ac:dyDescent="0.2">
      <c r="A67" s="4">
        <v>738</v>
      </c>
      <c r="B67" s="5" t="s">
        <v>16</v>
      </c>
      <c r="C67" s="5" t="s">
        <v>285</v>
      </c>
      <c r="D67" s="14" t="s">
        <v>286</v>
      </c>
      <c r="E67" s="5">
        <v>10</v>
      </c>
      <c r="F67" s="13" t="s">
        <v>287</v>
      </c>
      <c r="G67" s="7">
        <v>5554388308</v>
      </c>
      <c r="H67" s="7" t="s">
        <v>288</v>
      </c>
      <c r="I67" s="5" t="s">
        <v>21</v>
      </c>
      <c r="J67" s="9" t="s">
        <v>307</v>
      </c>
      <c r="K67" s="9" t="s">
        <v>222</v>
      </c>
      <c r="L67" s="9" t="s">
        <v>308</v>
      </c>
      <c r="M67" s="9" t="s">
        <v>309</v>
      </c>
      <c r="N67" s="9" t="s">
        <v>310</v>
      </c>
      <c r="O67" s="5">
        <v>1</v>
      </c>
      <c r="P67" s="5">
        <v>0</v>
      </c>
      <c r="Q67" s="22">
        <f>_xlfn.XLOOKUP(H67, 'Anexo A'!$E$1:$E$77, 'Anexo A'!$I$1:$I$77, "", 0)</f>
        <v>40749</v>
      </c>
      <c r="R67" s="1"/>
      <c r="Y67" s="22"/>
    </row>
    <row r="68" spans="1:25" ht="54" x14ac:dyDescent="0.2">
      <c r="A68" s="4">
        <v>738</v>
      </c>
      <c r="B68" s="5" t="s">
        <v>16</v>
      </c>
      <c r="C68" s="5" t="s">
        <v>285</v>
      </c>
      <c r="D68" s="14" t="s">
        <v>286</v>
      </c>
      <c r="E68" s="5">
        <v>10</v>
      </c>
      <c r="F68" s="13" t="s">
        <v>287</v>
      </c>
      <c r="G68" s="7">
        <v>5554388308</v>
      </c>
      <c r="H68" s="7" t="s">
        <v>288</v>
      </c>
      <c r="I68" s="5" t="s">
        <v>57</v>
      </c>
      <c r="J68" s="9" t="s">
        <v>311</v>
      </c>
      <c r="K68" s="9" t="s">
        <v>312</v>
      </c>
      <c r="L68" s="9" t="s">
        <v>313</v>
      </c>
      <c r="M68" s="9" t="s">
        <v>314</v>
      </c>
      <c r="N68" s="9" t="s">
        <v>315</v>
      </c>
      <c r="O68" s="5">
        <v>0</v>
      </c>
      <c r="P68" s="5">
        <v>1</v>
      </c>
      <c r="Q68" s="22">
        <f>_xlfn.XLOOKUP(H68, 'Anexo A'!$E$1:$E$77, 'Anexo A'!$I$1:$I$77, "", 0)</f>
        <v>40749</v>
      </c>
      <c r="R68" s="1"/>
      <c r="Y68" s="22"/>
    </row>
    <row r="69" spans="1:25" ht="90" x14ac:dyDescent="0.2">
      <c r="A69" s="4">
        <v>738</v>
      </c>
      <c r="B69" s="5" t="s">
        <v>16</v>
      </c>
      <c r="C69" s="5" t="s">
        <v>316</v>
      </c>
      <c r="D69" s="5" t="s">
        <v>317</v>
      </c>
      <c r="E69" s="5">
        <v>11</v>
      </c>
      <c r="F69" s="6" t="s">
        <v>318</v>
      </c>
      <c r="G69" s="12" t="s">
        <v>319</v>
      </c>
      <c r="H69" s="7" t="s">
        <v>320</v>
      </c>
      <c r="I69" s="5" t="s">
        <v>57</v>
      </c>
      <c r="J69" s="9" t="s">
        <v>321</v>
      </c>
      <c r="K69" s="9" t="s">
        <v>110</v>
      </c>
      <c r="L69" s="9" t="s">
        <v>322</v>
      </c>
      <c r="M69" s="9" t="s">
        <v>323</v>
      </c>
      <c r="N69" s="9" t="s">
        <v>324</v>
      </c>
      <c r="O69" s="5">
        <v>0</v>
      </c>
      <c r="P69" s="5">
        <v>1</v>
      </c>
      <c r="Q69" s="22">
        <f>_xlfn.XLOOKUP(H69, 'Anexo A'!$E$1:$E$77, 'Anexo A'!$I$1:$I$77, "", 0)</f>
        <v>44453</v>
      </c>
      <c r="R69" s="1"/>
      <c r="Y69" s="22"/>
    </row>
    <row r="70" spans="1:25" ht="90" x14ac:dyDescent="0.2">
      <c r="A70" s="4">
        <v>738</v>
      </c>
      <c r="B70" s="5" t="s">
        <v>16</v>
      </c>
      <c r="C70" s="5" t="s">
        <v>316</v>
      </c>
      <c r="D70" s="5" t="s">
        <v>317</v>
      </c>
      <c r="E70" s="5">
        <v>11</v>
      </c>
      <c r="F70" s="6" t="s">
        <v>318</v>
      </c>
      <c r="G70" s="12" t="s">
        <v>319</v>
      </c>
      <c r="H70" s="7" t="s">
        <v>320</v>
      </c>
      <c r="I70" s="5" t="s">
        <v>57</v>
      </c>
      <c r="J70" s="9" t="s">
        <v>58</v>
      </c>
      <c r="K70" s="9" t="s">
        <v>325</v>
      </c>
      <c r="L70" s="9" t="s">
        <v>326</v>
      </c>
      <c r="M70" s="9" t="s">
        <v>327</v>
      </c>
      <c r="N70" s="9" t="s">
        <v>328</v>
      </c>
      <c r="O70" s="5">
        <v>0</v>
      </c>
      <c r="P70" s="5">
        <v>1</v>
      </c>
      <c r="Q70" s="22">
        <f>_xlfn.XLOOKUP(H70, 'Anexo A'!$E$1:$E$77, 'Anexo A'!$I$1:$I$77, "", 0)</f>
        <v>44453</v>
      </c>
      <c r="R70" s="1"/>
      <c r="Y70" s="22"/>
    </row>
    <row r="71" spans="1:25" ht="90" x14ac:dyDescent="0.2">
      <c r="A71" s="4">
        <v>738</v>
      </c>
      <c r="B71" s="5" t="s">
        <v>16</v>
      </c>
      <c r="C71" s="5" t="s">
        <v>316</v>
      </c>
      <c r="D71" s="5" t="s">
        <v>317</v>
      </c>
      <c r="E71" s="5">
        <v>11</v>
      </c>
      <c r="F71" s="6" t="s">
        <v>318</v>
      </c>
      <c r="G71" s="12" t="s">
        <v>319</v>
      </c>
      <c r="H71" s="7" t="s">
        <v>320</v>
      </c>
      <c r="I71" s="5" t="s">
        <v>57</v>
      </c>
      <c r="J71" s="9" t="s">
        <v>329</v>
      </c>
      <c r="K71" s="9" t="s">
        <v>110</v>
      </c>
      <c r="L71" s="9" t="s">
        <v>322</v>
      </c>
      <c r="M71" s="9" t="s">
        <v>330</v>
      </c>
      <c r="N71" s="9" t="s">
        <v>331</v>
      </c>
      <c r="O71" s="5">
        <v>0</v>
      </c>
      <c r="P71" s="5">
        <v>1</v>
      </c>
      <c r="Q71" s="22">
        <f>_xlfn.XLOOKUP(H71, 'Anexo A'!$E$1:$E$77, 'Anexo A'!$I$1:$I$77, "", 0)</f>
        <v>44453</v>
      </c>
      <c r="R71" s="1"/>
      <c r="Y71" s="22"/>
    </row>
    <row r="72" spans="1:25" ht="90" x14ac:dyDescent="0.2">
      <c r="A72" s="4">
        <v>738</v>
      </c>
      <c r="B72" s="5" t="s">
        <v>16</v>
      </c>
      <c r="C72" s="5" t="s">
        <v>316</v>
      </c>
      <c r="D72" s="5" t="s">
        <v>317</v>
      </c>
      <c r="E72" s="5">
        <v>11</v>
      </c>
      <c r="F72" s="6" t="s">
        <v>318</v>
      </c>
      <c r="G72" s="12" t="s">
        <v>319</v>
      </c>
      <c r="H72" s="7" t="s">
        <v>320</v>
      </c>
      <c r="I72" s="5" t="s">
        <v>57</v>
      </c>
      <c r="J72" s="9" t="s">
        <v>332</v>
      </c>
      <c r="K72" s="9" t="s">
        <v>110</v>
      </c>
      <c r="L72" s="9" t="s">
        <v>333</v>
      </c>
      <c r="M72" s="9" t="s">
        <v>334</v>
      </c>
      <c r="N72" s="9" t="s">
        <v>335</v>
      </c>
      <c r="O72" s="5">
        <v>0</v>
      </c>
      <c r="P72" s="5">
        <v>1</v>
      </c>
      <c r="Q72" s="22">
        <f>_xlfn.XLOOKUP(H72, 'Anexo A'!$E$1:$E$77, 'Anexo A'!$I$1:$I$77, "", 0)</f>
        <v>44453</v>
      </c>
      <c r="R72" s="1"/>
      <c r="Y72" s="22"/>
    </row>
    <row r="73" spans="1:25" ht="90" x14ac:dyDescent="0.2">
      <c r="A73" s="4">
        <v>738</v>
      </c>
      <c r="B73" s="5" t="s">
        <v>16</v>
      </c>
      <c r="C73" s="5" t="s">
        <v>316</v>
      </c>
      <c r="D73" s="5" t="s">
        <v>317</v>
      </c>
      <c r="E73" s="5">
        <v>11</v>
      </c>
      <c r="F73" s="6" t="s">
        <v>318</v>
      </c>
      <c r="G73" s="12" t="s">
        <v>319</v>
      </c>
      <c r="H73" s="7" t="s">
        <v>320</v>
      </c>
      <c r="I73" s="5" t="s">
        <v>57</v>
      </c>
      <c r="J73" s="9" t="s">
        <v>336</v>
      </c>
      <c r="K73" s="9" t="s">
        <v>154</v>
      </c>
      <c r="L73" s="9" t="s">
        <v>197</v>
      </c>
      <c r="M73" s="9" t="s">
        <v>337</v>
      </c>
      <c r="N73" s="9" t="s">
        <v>338</v>
      </c>
      <c r="O73" s="5">
        <v>0</v>
      </c>
      <c r="P73" s="5">
        <v>1</v>
      </c>
      <c r="Q73" s="22">
        <f>_xlfn.XLOOKUP(H73, 'Anexo A'!$E$1:$E$77, 'Anexo A'!$I$1:$I$77, "", 0)</f>
        <v>44453</v>
      </c>
      <c r="R73" s="1"/>
      <c r="Y73" s="22"/>
    </row>
    <row r="74" spans="1:25" ht="90" x14ac:dyDescent="0.2">
      <c r="A74" s="4">
        <v>738</v>
      </c>
      <c r="B74" s="5" t="s">
        <v>16</v>
      </c>
      <c r="C74" s="5" t="s">
        <v>316</v>
      </c>
      <c r="D74" s="5" t="s">
        <v>317</v>
      </c>
      <c r="E74" s="5">
        <v>11</v>
      </c>
      <c r="F74" s="6" t="s">
        <v>318</v>
      </c>
      <c r="G74" s="12" t="s">
        <v>319</v>
      </c>
      <c r="H74" s="7" t="s">
        <v>320</v>
      </c>
      <c r="I74" s="5" t="s">
        <v>85</v>
      </c>
      <c r="J74" s="9" t="s">
        <v>164</v>
      </c>
      <c r="K74" s="9" t="s">
        <v>158</v>
      </c>
      <c r="L74" s="9" t="s">
        <v>265</v>
      </c>
      <c r="M74" s="9" t="s">
        <v>339</v>
      </c>
      <c r="N74" s="9" t="s">
        <v>340</v>
      </c>
      <c r="O74" s="5">
        <v>0</v>
      </c>
      <c r="P74" s="5">
        <v>1</v>
      </c>
      <c r="Q74" s="22">
        <f>_xlfn.XLOOKUP(H74, 'Anexo A'!$E$1:$E$77, 'Anexo A'!$I$1:$I$77, "", 0)</f>
        <v>44453</v>
      </c>
      <c r="R74" s="1"/>
      <c r="Y74" s="22"/>
    </row>
    <row r="75" spans="1:25" ht="90" x14ac:dyDescent="0.2">
      <c r="A75" s="4">
        <v>738</v>
      </c>
      <c r="B75" s="5" t="s">
        <v>16</v>
      </c>
      <c r="C75" s="5" t="s">
        <v>316</v>
      </c>
      <c r="D75" s="5" t="s">
        <v>317</v>
      </c>
      <c r="E75" s="5">
        <v>11</v>
      </c>
      <c r="F75" s="6" t="s">
        <v>318</v>
      </c>
      <c r="G75" s="12" t="s">
        <v>319</v>
      </c>
      <c r="H75" s="7" t="s">
        <v>320</v>
      </c>
      <c r="I75" s="5" t="s">
        <v>57</v>
      </c>
      <c r="J75" s="9" t="s">
        <v>341</v>
      </c>
      <c r="K75" s="9" t="s">
        <v>23</v>
      </c>
      <c r="L75" s="9" t="s">
        <v>342</v>
      </c>
      <c r="M75" s="9" t="s">
        <v>343</v>
      </c>
      <c r="N75" s="9" t="s">
        <v>344</v>
      </c>
      <c r="O75" s="5">
        <v>0</v>
      </c>
      <c r="P75" s="5">
        <v>1</v>
      </c>
      <c r="Q75" s="22">
        <f>_xlfn.XLOOKUP(H75, 'Anexo A'!$E$1:$E$77, 'Anexo A'!$I$1:$I$77, "", 0)</f>
        <v>44453</v>
      </c>
      <c r="R75" s="1"/>
      <c r="Y75" s="22"/>
    </row>
    <row r="76" spans="1:25" ht="90" x14ac:dyDescent="0.2">
      <c r="A76" s="4">
        <v>738</v>
      </c>
      <c r="B76" s="5" t="s">
        <v>16</v>
      </c>
      <c r="C76" s="5" t="s">
        <v>316</v>
      </c>
      <c r="D76" s="5" t="s">
        <v>317</v>
      </c>
      <c r="E76" s="5">
        <v>11</v>
      </c>
      <c r="F76" s="6" t="s">
        <v>318</v>
      </c>
      <c r="G76" s="12" t="s">
        <v>319</v>
      </c>
      <c r="H76" s="7" t="s">
        <v>320</v>
      </c>
      <c r="I76" s="5" t="s">
        <v>21</v>
      </c>
      <c r="J76" s="9" t="s">
        <v>345</v>
      </c>
      <c r="K76" s="9" t="s">
        <v>346</v>
      </c>
      <c r="L76" s="9" t="s">
        <v>347</v>
      </c>
      <c r="M76" s="9" t="s">
        <v>348</v>
      </c>
      <c r="N76" s="9" t="s">
        <v>349</v>
      </c>
      <c r="O76" s="5">
        <v>1</v>
      </c>
      <c r="P76" s="5">
        <v>0</v>
      </c>
      <c r="Q76" s="22">
        <f>_xlfn.XLOOKUP(H76, 'Anexo A'!$E$1:$E$77, 'Anexo A'!$I$1:$I$77, "", 0)</f>
        <v>44453</v>
      </c>
      <c r="R76" s="1"/>
      <c r="Y76" s="22"/>
    </row>
    <row r="77" spans="1:25" ht="54" x14ac:dyDescent="0.2">
      <c r="A77" s="4">
        <v>738</v>
      </c>
      <c r="B77" s="5" t="s">
        <v>16</v>
      </c>
      <c r="C77" s="5" t="s">
        <v>350</v>
      </c>
      <c r="D77" s="5" t="s">
        <v>351</v>
      </c>
      <c r="E77" s="5">
        <v>12</v>
      </c>
      <c r="F77" s="13" t="s">
        <v>352</v>
      </c>
      <c r="G77" s="7">
        <v>9997720959</v>
      </c>
      <c r="H77" s="7" t="s">
        <v>353</v>
      </c>
      <c r="I77" s="5" t="s">
        <v>57</v>
      </c>
      <c r="J77" s="9" t="s">
        <v>341</v>
      </c>
      <c r="K77" s="9" t="s">
        <v>158</v>
      </c>
      <c r="L77" s="9" t="s">
        <v>254</v>
      </c>
      <c r="M77" s="9" t="s">
        <v>354</v>
      </c>
      <c r="N77" s="9" t="s">
        <v>355</v>
      </c>
      <c r="O77" s="5">
        <v>0</v>
      </c>
      <c r="P77" s="5">
        <v>1</v>
      </c>
      <c r="Q77" s="22">
        <f>_xlfn.XLOOKUP(H77, 'Anexo A'!$E$1:$E$77, 'Anexo A'!$I$1:$I$77, "", 0)</f>
        <v>44453</v>
      </c>
      <c r="R77" s="1"/>
      <c r="Y77" s="22"/>
    </row>
    <row r="78" spans="1:25" ht="54" x14ac:dyDescent="0.2">
      <c r="A78" s="4">
        <v>738</v>
      </c>
      <c r="B78" s="5" t="s">
        <v>16</v>
      </c>
      <c r="C78" s="5" t="s">
        <v>350</v>
      </c>
      <c r="D78" s="5" t="s">
        <v>351</v>
      </c>
      <c r="E78" s="5">
        <v>12</v>
      </c>
      <c r="F78" s="13" t="s">
        <v>352</v>
      </c>
      <c r="G78" s="7">
        <v>9997720959</v>
      </c>
      <c r="H78" s="7" t="s">
        <v>353</v>
      </c>
      <c r="I78" s="5" t="s">
        <v>21</v>
      </c>
      <c r="J78" s="9" t="s">
        <v>356</v>
      </c>
      <c r="K78" s="9" t="s">
        <v>23</v>
      </c>
      <c r="L78" s="9" t="s">
        <v>31</v>
      </c>
      <c r="M78" s="9" t="s">
        <v>357</v>
      </c>
      <c r="N78" s="9" t="s">
        <v>358</v>
      </c>
      <c r="O78" s="5">
        <v>1</v>
      </c>
      <c r="P78" s="5">
        <v>0</v>
      </c>
      <c r="Q78" s="22">
        <f>_xlfn.XLOOKUP(H78, 'Anexo A'!$E$1:$E$77, 'Anexo A'!$I$1:$I$77, "", 0)</f>
        <v>44453</v>
      </c>
      <c r="R78" s="1"/>
      <c r="Y78" s="22"/>
    </row>
    <row r="79" spans="1:25" ht="54" x14ac:dyDescent="0.2">
      <c r="A79" s="4">
        <v>738</v>
      </c>
      <c r="B79" s="5" t="s">
        <v>16</v>
      </c>
      <c r="C79" s="5" t="s">
        <v>350</v>
      </c>
      <c r="D79" s="5" t="s">
        <v>351</v>
      </c>
      <c r="E79" s="5">
        <v>12</v>
      </c>
      <c r="F79" s="13" t="s">
        <v>352</v>
      </c>
      <c r="G79" s="7">
        <v>9997720959</v>
      </c>
      <c r="H79" s="7" t="s">
        <v>353</v>
      </c>
      <c r="I79" s="5" t="s">
        <v>57</v>
      </c>
      <c r="J79" s="9" t="s">
        <v>359</v>
      </c>
      <c r="K79" s="9" t="s">
        <v>360</v>
      </c>
      <c r="L79" s="9" t="s">
        <v>97</v>
      </c>
      <c r="M79" s="9" t="s">
        <v>361</v>
      </c>
      <c r="N79" s="9" t="s">
        <v>362</v>
      </c>
      <c r="O79" s="5">
        <v>0</v>
      </c>
      <c r="P79" s="5">
        <v>1</v>
      </c>
      <c r="Q79" s="22">
        <f>_xlfn.XLOOKUP(H79, 'Anexo A'!$E$1:$E$77, 'Anexo A'!$I$1:$I$77, "", 0)</f>
        <v>44453</v>
      </c>
      <c r="R79" s="1"/>
      <c r="Y79" s="22"/>
    </row>
    <row r="80" spans="1:25" ht="54" x14ac:dyDescent="0.2">
      <c r="A80" s="4">
        <v>738</v>
      </c>
      <c r="B80" s="5" t="s">
        <v>16</v>
      </c>
      <c r="C80" s="5" t="s">
        <v>350</v>
      </c>
      <c r="D80" s="5" t="s">
        <v>351</v>
      </c>
      <c r="E80" s="5">
        <v>12</v>
      </c>
      <c r="F80" s="13" t="s">
        <v>352</v>
      </c>
      <c r="G80" s="7">
        <v>9997720959</v>
      </c>
      <c r="H80" s="7" t="s">
        <v>353</v>
      </c>
      <c r="I80" s="5" t="s">
        <v>21</v>
      </c>
      <c r="J80" s="9" t="s">
        <v>356</v>
      </c>
      <c r="K80" s="9" t="s">
        <v>363</v>
      </c>
      <c r="L80" s="9" t="s">
        <v>364</v>
      </c>
      <c r="M80" s="9" t="s">
        <v>365</v>
      </c>
      <c r="N80" s="9" t="s">
        <v>358</v>
      </c>
      <c r="O80" s="5">
        <v>1</v>
      </c>
      <c r="P80" s="5">
        <v>0</v>
      </c>
      <c r="Q80" s="22">
        <f>_xlfn.XLOOKUP(H80, 'Anexo A'!$E$1:$E$77, 'Anexo A'!$I$1:$I$77, "", 0)</f>
        <v>44453</v>
      </c>
      <c r="R80" s="1"/>
      <c r="Y80" s="22"/>
    </row>
    <row r="81" spans="1:25" ht="72" x14ac:dyDescent="0.2">
      <c r="A81" s="4">
        <v>738</v>
      </c>
      <c r="B81" s="5" t="s">
        <v>16</v>
      </c>
      <c r="C81" s="5" t="s">
        <v>366</v>
      </c>
      <c r="D81" s="5" t="s">
        <v>367</v>
      </c>
      <c r="E81" s="5">
        <v>13</v>
      </c>
      <c r="F81" s="13" t="s">
        <v>368</v>
      </c>
      <c r="G81" s="12" t="s">
        <v>369</v>
      </c>
      <c r="H81" s="7" t="s">
        <v>370</v>
      </c>
      <c r="I81" s="5" t="s">
        <v>57</v>
      </c>
      <c r="J81" s="9" t="s">
        <v>58</v>
      </c>
      <c r="K81" s="9" t="s">
        <v>233</v>
      </c>
      <c r="L81" s="9" t="s">
        <v>234</v>
      </c>
      <c r="M81" s="9" t="s">
        <v>371</v>
      </c>
      <c r="N81" s="9" t="s">
        <v>372</v>
      </c>
      <c r="O81" s="5">
        <v>0</v>
      </c>
      <c r="P81" s="5">
        <v>1</v>
      </c>
      <c r="Q81" s="22">
        <f>_xlfn.XLOOKUP(H81, 'Anexo A'!$E$1:$E$77, 'Anexo A'!$I$1:$I$77, "", 0)</f>
        <v>41079</v>
      </c>
      <c r="R81" s="1"/>
      <c r="Y81" s="22"/>
    </row>
    <row r="82" spans="1:25" ht="72" x14ac:dyDescent="0.2">
      <c r="A82" s="4">
        <v>738</v>
      </c>
      <c r="B82" s="5" t="s">
        <v>16</v>
      </c>
      <c r="C82" s="5" t="s">
        <v>366</v>
      </c>
      <c r="D82" s="5" t="s">
        <v>367</v>
      </c>
      <c r="E82" s="5">
        <v>13</v>
      </c>
      <c r="F82" s="13" t="s">
        <v>368</v>
      </c>
      <c r="G82" s="12" t="s">
        <v>369</v>
      </c>
      <c r="H82" s="7" t="s">
        <v>370</v>
      </c>
      <c r="I82" s="5" t="s">
        <v>57</v>
      </c>
      <c r="J82" s="9" t="s">
        <v>373</v>
      </c>
      <c r="K82" s="9" t="s">
        <v>158</v>
      </c>
      <c r="L82" s="9" t="s">
        <v>254</v>
      </c>
      <c r="M82" s="9" t="s">
        <v>374</v>
      </c>
      <c r="N82" s="9" t="s">
        <v>375</v>
      </c>
      <c r="O82" s="5">
        <v>0</v>
      </c>
      <c r="P82" s="5">
        <v>1</v>
      </c>
      <c r="Q82" s="22">
        <f>_xlfn.XLOOKUP(H82, 'Anexo A'!$E$1:$E$77, 'Anexo A'!$I$1:$I$77, "", 0)</f>
        <v>41079</v>
      </c>
      <c r="R82" s="1"/>
      <c r="Y82" s="22"/>
    </row>
    <row r="83" spans="1:25" ht="72" x14ac:dyDescent="0.2">
      <c r="A83" s="4">
        <v>738</v>
      </c>
      <c r="B83" s="5" t="s">
        <v>16</v>
      </c>
      <c r="C83" s="5" t="s">
        <v>366</v>
      </c>
      <c r="D83" s="5" t="s">
        <v>367</v>
      </c>
      <c r="E83" s="5">
        <v>13</v>
      </c>
      <c r="F83" s="13" t="s">
        <v>368</v>
      </c>
      <c r="G83" s="12" t="s">
        <v>369</v>
      </c>
      <c r="H83" s="7" t="s">
        <v>370</v>
      </c>
      <c r="I83" s="5" t="s">
        <v>21</v>
      </c>
      <c r="J83" s="9" t="s">
        <v>45</v>
      </c>
      <c r="K83" s="9" t="s">
        <v>53</v>
      </c>
      <c r="L83" s="9" t="s">
        <v>54</v>
      </c>
      <c r="M83" s="9" t="s">
        <v>376</v>
      </c>
      <c r="N83" s="9" t="s">
        <v>377</v>
      </c>
      <c r="O83" s="5">
        <v>1</v>
      </c>
      <c r="P83" s="5">
        <v>0</v>
      </c>
      <c r="Q83" s="22">
        <f>_xlfn.XLOOKUP(H83, 'Anexo A'!$E$1:$E$77, 'Anexo A'!$I$1:$I$77, "", 0)</f>
        <v>41079</v>
      </c>
      <c r="R83" s="1"/>
      <c r="Y83" s="22"/>
    </row>
    <row r="84" spans="1:25" ht="54" x14ac:dyDescent="0.2">
      <c r="A84" s="4">
        <v>738</v>
      </c>
      <c r="B84" s="5" t="s">
        <v>16</v>
      </c>
      <c r="C84" s="5" t="s">
        <v>378</v>
      </c>
      <c r="D84" s="5" t="s">
        <v>379</v>
      </c>
      <c r="E84" s="5">
        <v>14</v>
      </c>
      <c r="F84" s="13" t="s">
        <v>380</v>
      </c>
      <c r="G84" s="7">
        <v>9993349575</v>
      </c>
      <c r="H84" s="7" t="s">
        <v>381</v>
      </c>
      <c r="I84" s="5" t="s">
        <v>85</v>
      </c>
      <c r="J84" s="9" t="s">
        <v>119</v>
      </c>
      <c r="K84" s="9" t="s">
        <v>382</v>
      </c>
      <c r="L84" s="9" t="s">
        <v>383</v>
      </c>
      <c r="M84" s="9" t="s">
        <v>384</v>
      </c>
      <c r="N84" s="9" t="s">
        <v>385</v>
      </c>
      <c r="O84" s="5">
        <v>0</v>
      </c>
      <c r="P84" s="5">
        <v>1</v>
      </c>
      <c r="Q84" s="22">
        <f>_xlfn.XLOOKUP(H84, 'Anexo A'!$E$1:$E$77, 'Anexo A'!$I$1:$I$77, "", 0)</f>
        <v>41106</v>
      </c>
      <c r="R84" s="1"/>
      <c r="Y84" s="22"/>
    </row>
    <row r="85" spans="1:25" ht="54" x14ac:dyDescent="0.2">
      <c r="A85" s="4">
        <v>738</v>
      </c>
      <c r="B85" s="5" t="s">
        <v>16</v>
      </c>
      <c r="C85" s="5" t="s">
        <v>378</v>
      </c>
      <c r="D85" s="5" t="s">
        <v>379</v>
      </c>
      <c r="E85" s="5">
        <v>14</v>
      </c>
      <c r="F85" s="13" t="s">
        <v>380</v>
      </c>
      <c r="G85" s="7">
        <v>9993349575</v>
      </c>
      <c r="H85" s="7" t="s">
        <v>381</v>
      </c>
      <c r="I85" s="5" t="s">
        <v>85</v>
      </c>
      <c r="J85" s="9" t="s">
        <v>109</v>
      </c>
      <c r="K85" s="9" t="s">
        <v>86</v>
      </c>
      <c r="L85" s="9" t="s">
        <v>386</v>
      </c>
      <c r="M85" s="9" t="s">
        <v>387</v>
      </c>
      <c r="N85" s="9" t="s">
        <v>388</v>
      </c>
      <c r="O85" s="5">
        <v>0</v>
      </c>
      <c r="P85" s="5">
        <v>1</v>
      </c>
      <c r="Q85" s="22">
        <f>_xlfn.XLOOKUP(H85, 'Anexo A'!$E$1:$E$77, 'Anexo A'!$I$1:$I$77, "", 0)</f>
        <v>41106</v>
      </c>
      <c r="R85" s="1"/>
      <c r="Y85" s="22"/>
    </row>
    <row r="86" spans="1:25" ht="54" x14ac:dyDescent="0.2">
      <c r="A86" s="4">
        <v>738</v>
      </c>
      <c r="B86" s="5" t="s">
        <v>16</v>
      </c>
      <c r="C86" s="5" t="s">
        <v>378</v>
      </c>
      <c r="D86" s="5" t="s">
        <v>379</v>
      </c>
      <c r="E86" s="5">
        <v>14</v>
      </c>
      <c r="F86" s="13" t="s">
        <v>380</v>
      </c>
      <c r="G86" s="7">
        <v>9993349575</v>
      </c>
      <c r="H86" s="7" t="s">
        <v>381</v>
      </c>
      <c r="I86" s="5" t="s">
        <v>85</v>
      </c>
      <c r="J86" s="9" t="s">
        <v>389</v>
      </c>
      <c r="K86" s="9" t="s">
        <v>222</v>
      </c>
      <c r="L86" s="9" t="s">
        <v>390</v>
      </c>
      <c r="M86" s="9" t="s">
        <v>391</v>
      </c>
      <c r="N86" s="9" t="s">
        <v>392</v>
      </c>
      <c r="O86" s="5">
        <v>0</v>
      </c>
      <c r="P86" s="5">
        <v>1</v>
      </c>
      <c r="Q86" s="22">
        <f>_xlfn.XLOOKUP(H86, 'Anexo A'!$E$1:$E$77, 'Anexo A'!$I$1:$I$77, "", 0)</f>
        <v>41106</v>
      </c>
      <c r="R86" s="1"/>
      <c r="Y86" s="22"/>
    </row>
    <row r="87" spans="1:25" ht="54" x14ac:dyDescent="0.2">
      <c r="A87" s="4">
        <v>738</v>
      </c>
      <c r="B87" s="5" t="s">
        <v>16</v>
      </c>
      <c r="C87" s="5" t="s">
        <v>378</v>
      </c>
      <c r="D87" s="5" t="s">
        <v>379</v>
      </c>
      <c r="E87" s="5">
        <v>14</v>
      </c>
      <c r="F87" s="13" t="s">
        <v>380</v>
      </c>
      <c r="G87" s="7">
        <v>9993349575</v>
      </c>
      <c r="H87" s="7" t="s">
        <v>381</v>
      </c>
      <c r="I87" s="5" t="s">
        <v>85</v>
      </c>
      <c r="J87" s="9" t="s">
        <v>164</v>
      </c>
      <c r="K87" s="9" t="s">
        <v>222</v>
      </c>
      <c r="L87" s="9" t="s">
        <v>393</v>
      </c>
      <c r="M87" s="9" t="s">
        <v>394</v>
      </c>
      <c r="N87" s="9" t="s">
        <v>395</v>
      </c>
      <c r="O87" s="5">
        <v>0</v>
      </c>
      <c r="P87" s="5">
        <v>1</v>
      </c>
      <c r="Q87" s="22">
        <f>_xlfn.XLOOKUP(H87, 'Anexo A'!$E$1:$E$77, 'Anexo A'!$I$1:$I$77, "", 0)</f>
        <v>41106</v>
      </c>
      <c r="R87" s="1"/>
      <c r="Y87" s="22"/>
    </row>
    <row r="88" spans="1:25" ht="54" x14ac:dyDescent="0.2">
      <c r="A88" s="4">
        <v>738</v>
      </c>
      <c r="B88" s="5" t="s">
        <v>16</v>
      </c>
      <c r="C88" s="5" t="s">
        <v>378</v>
      </c>
      <c r="D88" s="5" t="s">
        <v>379</v>
      </c>
      <c r="E88" s="5">
        <v>14</v>
      </c>
      <c r="F88" s="13" t="s">
        <v>380</v>
      </c>
      <c r="G88" s="7">
        <v>9993349575</v>
      </c>
      <c r="H88" s="7" t="s">
        <v>381</v>
      </c>
      <c r="I88" s="5" t="s">
        <v>85</v>
      </c>
      <c r="J88" s="9" t="s">
        <v>164</v>
      </c>
      <c r="K88" s="9" t="s">
        <v>222</v>
      </c>
      <c r="L88" s="9" t="s">
        <v>396</v>
      </c>
      <c r="M88" s="9" t="s">
        <v>397</v>
      </c>
      <c r="N88" s="9" t="s">
        <v>398</v>
      </c>
      <c r="O88" s="5">
        <v>0</v>
      </c>
      <c r="P88" s="5">
        <v>1</v>
      </c>
      <c r="Q88" s="22">
        <f>_xlfn.XLOOKUP(H88, 'Anexo A'!$E$1:$E$77, 'Anexo A'!$I$1:$I$77, "", 0)</f>
        <v>41106</v>
      </c>
      <c r="R88" s="1"/>
      <c r="Y88" s="22"/>
    </row>
    <row r="89" spans="1:25" ht="54" x14ac:dyDescent="0.2">
      <c r="A89" s="4">
        <v>738</v>
      </c>
      <c r="B89" s="5" t="s">
        <v>16</v>
      </c>
      <c r="C89" s="5" t="s">
        <v>399</v>
      </c>
      <c r="D89" s="5" t="s">
        <v>400</v>
      </c>
      <c r="E89" s="5">
        <v>15</v>
      </c>
      <c r="F89" s="6" t="s">
        <v>401</v>
      </c>
      <c r="G89" s="7">
        <v>9991637860</v>
      </c>
      <c r="H89" s="7" t="s">
        <v>402</v>
      </c>
      <c r="I89" s="5" t="s">
        <v>21</v>
      </c>
      <c r="J89" s="9" t="s">
        <v>218</v>
      </c>
      <c r="K89" s="9" t="s">
        <v>403</v>
      </c>
      <c r="L89" s="9" t="s">
        <v>404</v>
      </c>
      <c r="M89" s="9" t="s">
        <v>405</v>
      </c>
      <c r="N89" s="9" t="s">
        <v>406</v>
      </c>
      <c r="O89" s="5">
        <v>1</v>
      </c>
      <c r="P89" s="5">
        <v>0</v>
      </c>
      <c r="Q89" s="22">
        <f>_xlfn.XLOOKUP(H89, 'Anexo A'!$E$1:$E$77, 'Anexo A'!$I$1:$I$77, "", 0)</f>
        <v>41132</v>
      </c>
      <c r="R89" s="1"/>
      <c r="Y89" s="22"/>
    </row>
    <row r="90" spans="1:25" ht="54" x14ac:dyDescent="0.2">
      <c r="A90" s="4">
        <v>738</v>
      </c>
      <c r="B90" s="5" t="s">
        <v>16</v>
      </c>
      <c r="C90" s="5" t="s">
        <v>399</v>
      </c>
      <c r="D90" s="5" t="s">
        <v>400</v>
      </c>
      <c r="E90" s="5">
        <v>15</v>
      </c>
      <c r="F90" s="6" t="s">
        <v>401</v>
      </c>
      <c r="G90" s="7">
        <v>9991637860</v>
      </c>
      <c r="H90" s="7" t="s">
        <v>402</v>
      </c>
      <c r="I90" s="5" t="s">
        <v>21</v>
      </c>
      <c r="J90" s="9" t="s">
        <v>45</v>
      </c>
      <c r="K90" s="9" t="s">
        <v>53</v>
      </c>
      <c r="L90" s="9" t="s">
        <v>54</v>
      </c>
      <c r="M90" s="9" t="s">
        <v>407</v>
      </c>
      <c r="N90" s="9" t="s">
        <v>408</v>
      </c>
      <c r="O90" s="5">
        <v>1</v>
      </c>
      <c r="P90" s="5">
        <v>0</v>
      </c>
      <c r="Q90" s="22">
        <f>_xlfn.XLOOKUP(H90, 'Anexo A'!$E$1:$E$77, 'Anexo A'!$I$1:$I$77, "", 0)</f>
        <v>41132</v>
      </c>
      <c r="R90" s="1"/>
      <c r="Y90" s="22"/>
    </row>
    <row r="91" spans="1:25" ht="54" x14ac:dyDescent="0.2">
      <c r="A91" s="4">
        <v>738</v>
      </c>
      <c r="B91" s="5" t="s">
        <v>16</v>
      </c>
      <c r="C91" s="5" t="s">
        <v>399</v>
      </c>
      <c r="D91" s="5" t="s">
        <v>400</v>
      </c>
      <c r="E91" s="5">
        <v>15</v>
      </c>
      <c r="F91" s="6" t="s">
        <v>401</v>
      </c>
      <c r="G91" s="7">
        <v>9991637860</v>
      </c>
      <c r="H91" s="7" t="s">
        <v>402</v>
      </c>
      <c r="I91" s="5" t="s">
        <v>21</v>
      </c>
      <c r="J91" s="9" t="s">
        <v>45</v>
      </c>
      <c r="K91" s="9" t="s">
        <v>53</v>
      </c>
      <c r="L91" s="9" t="s">
        <v>54</v>
      </c>
      <c r="M91" s="9" t="s">
        <v>409</v>
      </c>
      <c r="N91" s="9" t="s">
        <v>410</v>
      </c>
      <c r="O91" s="5">
        <v>1</v>
      </c>
      <c r="P91" s="5">
        <v>0</v>
      </c>
      <c r="Q91" s="22">
        <f>_xlfn.XLOOKUP(H91, 'Anexo A'!$E$1:$E$77, 'Anexo A'!$I$1:$I$77, "", 0)</f>
        <v>41132</v>
      </c>
      <c r="R91" s="1"/>
      <c r="Y91" s="22"/>
    </row>
    <row r="92" spans="1:25" ht="54" x14ac:dyDescent="0.2">
      <c r="A92" s="4">
        <v>738</v>
      </c>
      <c r="B92" s="5" t="s">
        <v>16</v>
      </c>
      <c r="C92" s="5" t="s">
        <v>399</v>
      </c>
      <c r="D92" s="5" t="s">
        <v>400</v>
      </c>
      <c r="E92" s="5">
        <v>15</v>
      </c>
      <c r="F92" s="6" t="s">
        <v>401</v>
      </c>
      <c r="G92" s="7">
        <v>9991637860</v>
      </c>
      <c r="H92" s="7" t="s">
        <v>402</v>
      </c>
      <c r="I92" s="5" t="s">
        <v>57</v>
      </c>
      <c r="J92" s="9" t="s">
        <v>58</v>
      </c>
      <c r="K92" s="9" t="s">
        <v>154</v>
      </c>
      <c r="L92" s="9" t="s">
        <v>204</v>
      </c>
      <c r="M92" s="9" t="s">
        <v>411</v>
      </c>
      <c r="N92" s="9" t="s">
        <v>412</v>
      </c>
      <c r="O92" s="5">
        <v>0</v>
      </c>
      <c r="P92" s="5">
        <v>1</v>
      </c>
      <c r="Q92" s="22">
        <f>_xlfn.XLOOKUP(H92, 'Anexo A'!$E$1:$E$77, 'Anexo A'!$I$1:$I$77, "", 0)</f>
        <v>41132</v>
      </c>
      <c r="R92" s="1"/>
      <c r="Y92" s="22"/>
    </row>
    <row r="93" spans="1:25" ht="54" x14ac:dyDescent="0.2">
      <c r="A93" s="4">
        <v>738</v>
      </c>
      <c r="B93" s="5" t="s">
        <v>16</v>
      </c>
      <c r="C93" s="5" t="s">
        <v>413</v>
      </c>
      <c r="D93" s="5" t="s">
        <v>414</v>
      </c>
      <c r="E93" s="5">
        <v>16</v>
      </c>
      <c r="F93" s="13" t="s">
        <v>415</v>
      </c>
      <c r="G93" s="7">
        <v>9999431556</v>
      </c>
      <c r="H93" s="7" t="s">
        <v>416</v>
      </c>
      <c r="I93" s="5" t="s">
        <v>85</v>
      </c>
      <c r="J93" s="9" t="s">
        <v>109</v>
      </c>
      <c r="K93" s="9" t="s">
        <v>110</v>
      </c>
      <c r="L93" s="9" t="s">
        <v>417</v>
      </c>
      <c r="M93" s="9" t="s">
        <v>418</v>
      </c>
      <c r="N93" s="9" t="s">
        <v>419</v>
      </c>
      <c r="O93" s="5">
        <v>0</v>
      </c>
      <c r="P93" s="5">
        <v>1</v>
      </c>
      <c r="Q93" s="22">
        <f>_xlfn.XLOOKUP(H93, 'Anexo A'!$E$1:$E$77, 'Anexo A'!$I$1:$I$77, "", 0)</f>
        <v>41178</v>
      </c>
      <c r="R93" s="1"/>
      <c r="Y93" s="22"/>
    </row>
    <row r="94" spans="1:25" ht="54" x14ac:dyDescent="0.2">
      <c r="A94" s="4">
        <v>738</v>
      </c>
      <c r="B94" s="5" t="s">
        <v>16</v>
      </c>
      <c r="C94" s="5" t="s">
        <v>413</v>
      </c>
      <c r="D94" s="5" t="s">
        <v>414</v>
      </c>
      <c r="E94" s="5">
        <v>16</v>
      </c>
      <c r="F94" s="13" t="s">
        <v>415</v>
      </c>
      <c r="G94" s="7">
        <v>9999431556</v>
      </c>
      <c r="H94" s="7" t="s">
        <v>416</v>
      </c>
      <c r="I94" s="5" t="s">
        <v>85</v>
      </c>
      <c r="J94" s="9" t="s">
        <v>164</v>
      </c>
      <c r="K94" s="9" t="s">
        <v>420</v>
      </c>
      <c r="L94" s="9" t="s">
        <v>421</v>
      </c>
      <c r="M94" s="9" t="s">
        <v>422</v>
      </c>
      <c r="N94" s="9" t="s">
        <v>423</v>
      </c>
      <c r="O94" s="5">
        <v>0</v>
      </c>
      <c r="P94" s="5">
        <v>1</v>
      </c>
      <c r="Q94" s="22">
        <f>_xlfn.XLOOKUP(H94, 'Anexo A'!$E$1:$E$77, 'Anexo A'!$I$1:$I$77, "", 0)</f>
        <v>41178</v>
      </c>
      <c r="R94" s="1"/>
      <c r="Y94" s="22"/>
    </row>
    <row r="95" spans="1:25" ht="54" x14ac:dyDescent="0.2">
      <c r="A95" s="4">
        <v>738</v>
      </c>
      <c r="B95" s="5" t="s">
        <v>16</v>
      </c>
      <c r="C95" s="5" t="s">
        <v>413</v>
      </c>
      <c r="D95" s="5" t="s">
        <v>414</v>
      </c>
      <c r="E95" s="5">
        <v>16</v>
      </c>
      <c r="F95" s="13" t="s">
        <v>415</v>
      </c>
      <c r="G95" s="7">
        <v>9999431556</v>
      </c>
      <c r="H95" s="7" t="s">
        <v>416</v>
      </c>
      <c r="I95" s="5" t="s">
        <v>57</v>
      </c>
      <c r="J95" s="9" t="s">
        <v>49</v>
      </c>
      <c r="K95" s="9" t="s">
        <v>424</v>
      </c>
      <c r="L95" s="9" t="s">
        <v>425</v>
      </c>
      <c r="M95" s="9" t="s">
        <v>426</v>
      </c>
      <c r="N95" s="9" t="s">
        <v>427</v>
      </c>
      <c r="O95" s="5">
        <v>0</v>
      </c>
      <c r="P95" s="5">
        <v>1</v>
      </c>
      <c r="Q95" s="22">
        <f>_xlfn.XLOOKUP(H95, 'Anexo A'!$E$1:$E$77, 'Anexo A'!$I$1:$I$77, "", 0)</f>
        <v>41178</v>
      </c>
      <c r="R95" s="1"/>
      <c r="Y95" s="22"/>
    </row>
    <row r="96" spans="1:25" ht="54" x14ac:dyDescent="0.2">
      <c r="A96" s="4">
        <v>738</v>
      </c>
      <c r="B96" s="5" t="s">
        <v>16</v>
      </c>
      <c r="C96" s="5" t="s">
        <v>413</v>
      </c>
      <c r="D96" s="5" t="s">
        <v>414</v>
      </c>
      <c r="E96" s="5">
        <v>16</v>
      </c>
      <c r="F96" s="13" t="s">
        <v>415</v>
      </c>
      <c r="G96" s="7">
        <v>9999431556</v>
      </c>
      <c r="H96" s="7" t="s">
        <v>416</v>
      </c>
      <c r="I96" s="5" t="s">
        <v>85</v>
      </c>
      <c r="J96" s="9" t="s">
        <v>428</v>
      </c>
      <c r="K96" s="9" t="s">
        <v>110</v>
      </c>
      <c r="L96" s="9" t="s">
        <v>429</v>
      </c>
      <c r="M96" s="9" t="s">
        <v>430</v>
      </c>
      <c r="N96" s="9" t="s">
        <v>431</v>
      </c>
      <c r="O96" s="5">
        <v>0</v>
      </c>
      <c r="P96" s="5">
        <v>1</v>
      </c>
      <c r="Q96" s="22">
        <f>_xlfn.XLOOKUP(H96, 'Anexo A'!$E$1:$E$77, 'Anexo A'!$I$1:$I$77, "", 0)</f>
        <v>41178</v>
      </c>
      <c r="R96" s="1"/>
      <c r="Y96" s="22"/>
    </row>
    <row r="97" spans="1:25" ht="54" x14ac:dyDescent="0.2">
      <c r="A97" s="4">
        <v>738</v>
      </c>
      <c r="B97" s="5" t="s">
        <v>16</v>
      </c>
      <c r="C97" s="5" t="s">
        <v>413</v>
      </c>
      <c r="D97" s="5" t="s">
        <v>414</v>
      </c>
      <c r="E97" s="5">
        <v>16</v>
      </c>
      <c r="F97" s="13" t="s">
        <v>415</v>
      </c>
      <c r="G97" s="7">
        <v>9999431556</v>
      </c>
      <c r="H97" s="7" t="s">
        <v>416</v>
      </c>
      <c r="I97" s="5" t="s">
        <v>57</v>
      </c>
      <c r="J97" s="9" t="s">
        <v>432</v>
      </c>
      <c r="K97" s="9" t="s">
        <v>140</v>
      </c>
      <c r="L97" s="9" t="s">
        <v>433</v>
      </c>
      <c r="M97" s="9" t="s">
        <v>434</v>
      </c>
      <c r="N97" s="9" t="s">
        <v>435</v>
      </c>
      <c r="O97" s="5">
        <v>0</v>
      </c>
      <c r="P97" s="5">
        <v>1</v>
      </c>
      <c r="Q97" s="22">
        <f>_xlfn.XLOOKUP(H97, 'Anexo A'!$E$1:$E$77, 'Anexo A'!$I$1:$I$77, "", 0)</f>
        <v>41178</v>
      </c>
      <c r="R97" s="1"/>
      <c r="Y97" s="22"/>
    </row>
    <row r="98" spans="1:25" ht="54" x14ac:dyDescent="0.2">
      <c r="A98" s="4">
        <v>738</v>
      </c>
      <c r="B98" s="5" t="s">
        <v>16</v>
      </c>
      <c r="C98" s="5" t="s">
        <v>413</v>
      </c>
      <c r="D98" s="5" t="s">
        <v>414</v>
      </c>
      <c r="E98" s="5">
        <v>16</v>
      </c>
      <c r="F98" s="13" t="s">
        <v>415</v>
      </c>
      <c r="G98" s="7">
        <v>9999431556</v>
      </c>
      <c r="H98" s="7" t="s">
        <v>416</v>
      </c>
      <c r="I98" s="5" t="s">
        <v>85</v>
      </c>
      <c r="J98" s="9" t="s">
        <v>428</v>
      </c>
      <c r="K98" s="9" t="s">
        <v>158</v>
      </c>
      <c r="L98" s="9" t="s">
        <v>436</v>
      </c>
      <c r="M98" s="9" t="s">
        <v>437</v>
      </c>
      <c r="N98" s="9" t="s">
        <v>438</v>
      </c>
      <c r="O98" s="5">
        <v>0</v>
      </c>
      <c r="P98" s="5">
        <v>1</v>
      </c>
      <c r="Q98" s="22">
        <f>_xlfn.XLOOKUP(H98, 'Anexo A'!$E$1:$E$77, 'Anexo A'!$I$1:$I$77, "", 0)</f>
        <v>41178</v>
      </c>
      <c r="R98" s="1"/>
      <c r="Y98" s="22"/>
    </row>
    <row r="99" spans="1:25" ht="54" x14ac:dyDescent="0.2">
      <c r="A99" s="4">
        <v>738</v>
      </c>
      <c r="B99" s="5" t="s">
        <v>16</v>
      </c>
      <c r="C99" s="5" t="s">
        <v>413</v>
      </c>
      <c r="D99" s="5" t="s">
        <v>414</v>
      </c>
      <c r="E99" s="5">
        <v>16</v>
      </c>
      <c r="F99" s="13" t="s">
        <v>415</v>
      </c>
      <c r="G99" s="7">
        <v>9999431556</v>
      </c>
      <c r="H99" s="7" t="s">
        <v>416</v>
      </c>
      <c r="I99" s="5" t="s">
        <v>57</v>
      </c>
      <c r="J99" s="9" t="s">
        <v>321</v>
      </c>
      <c r="K99" s="9" t="s">
        <v>154</v>
      </c>
      <c r="L99" s="9" t="s">
        <v>197</v>
      </c>
      <c r="M99" s="9" t="s">
        <v>439</v>
      </c>
      <c r="N99" s="9" t="s">
        <v>440</v>
      </c>
      <c r="O99" s="5">
        <v>0</v>
      </c>
      <c r="P99" s="5">
        <v>1</v>
      </c>
      <c r="Q99" s="22">
        <f>_xlfn.XLOOKUP(H99, 'Anexo A'!$E$1:$E$77, 'Anexo A'!$I$1:$I$77, "", 0)</f>
        <v>41178</v>
      </c>
      <c r="R99" s="1"/>
      <c r="Y99" s="22"/>
    </row>
    <row r="100" spans="1:25" ht="54" x14ac:dyDescent="0.2">
      <c r="A100" s="4">
        <v>738</v>
      </c>
      <c r="B100" s="5" t="s">
        <v>16</v>
      </c>
      <c r="C100" s="5" t="s">
        <v>413</v>
      </c>
      <c r="D100" s="5" t="s">
        <v>414</v>
      </c>
      <c r="E100" s="5">
        <v>16</v>
      </c>
      <c r="F100" s="13" t="s">
        <v>415</v>
      </c>
      <c r="G100" s="7">
        <v>9999431556</v>
      </c>
      <c r="H100" s="7" t="s">
        <v>416</v>
      </c>
      <c r="I100" s="5" t="s">
        <v>57</v>
      </c>
      <c r="J100" s="9" t="s">
        <v>271</v>
      </c>
      <c r="K100" s="9" t="s">
        <v>92</v>
      </c>
      <c r="L100" s="9" t="s">
        <v>106</v>
      </c>
      <c r="M100" s="9" t="s">
        <v>441</v>
      </c>
      <c r="N100" s="9" t="s">
        <v>442</v>
      </c>
      <c r="O100" s="5">
        <v>0</v>
      </c>
      <c r="P100" s="5">
        <v>1</v>
      </c>
      <c r="Q100" s="22">
        <f>_xlfn.XLOOKUP(H100, 'Anexo A'!$E$1:$E$77, 'Anexo A'!$I$1:$I$77, "", 0)</f>
        <v>41178</v>
      </c>
      <c r="R100" s="1"/>
      <c r="Y100" s="22"/>
    </row>
    <row r="101" spans="1:25" ht="54" x14ac:dyDescent="0.2">
      <c r="A101" s="4">
        <v>738</v>
      </c>
      <c r="B101" s="5" t="s">
        <v>16</v>
      </c>
      <c r="C101" s="5" t="s">
        <v>413</v>
      </c>
      <c r="D101" s="5" t="s">
        <v>414</v>
      </c>
      <c r="E101" s="5">
        <v>16</v>
      </c>
      <c r="F101" s="13" t="s">
        <v>415</v>
      </c>
      <c r="G101" s="7">
        <v>9999431556</v>
      </c>
      <c r="H101" s="7" t="s">
        <v>416</v>
      </c>
      <c r="I101" s="5" t="s">
        <v>85</v>
      </c>
      <c r="J101" s="9" t="s">
        <v>119</v>
      </c>
      <c r="K101" s="9" t="s">
        <v>92</v>
      </c>
      <c r="L101" s="9" t="s">
        <v>443</v>
      </c>
      <c r="M101" s="9" t="s">
        <v>444</v>
      </c>
      <c r="N101" s="9" t="s">
        <v>445</v>
      </c>
      <c r="O101" s="5">
        <v>0</v>
      </c>
      <c r="P101" s="5">
        <v>1</v>
      </c>
      <c r="Q101" s="22">
        <f>_xlfn.XLOOKUP(H101, 'Anexo A'!$E$1:$E$77, 'Anexo A'!$I$1:$I$77, "", 0)</f>
        <v>41178</v>
      </c>
      <c r="R101" s="1"/>
      <c r="Y101" s="22"/>
    </row>
    <row r="102" spans="1:25" ht="54" x14ac:dyDescent="0.2">
      <c r="A102" s="4">
        <v>738</v>
      </c>
      <c r="B102" s="5" t="s">
        <v>16</v>
      </c>
      <c r="C102" s="5" t="s">
        <v>413</v>
      </c>
      <c r="D102" s="5" t="s">
        <v>414</v>
      </c>
      <c r="E102" s="5">
        <v>16</v>
      </c>
      <c r="F102" s="13" t="s">
        <v>415</v>
      </c>
      <c r="G102" s="7">
        <v>9999431556</v>
      </c>
      <c r="H102" s="7" t="s">
        <v>416</v>
      </c>
      <c r="I102" s="5" t="s">
        <v>446</v>
      </c>
      <c r="J102" s="9" t="s">
        <v>447</v>
      </c>
      <c r="K102" s="9" t="s">
        <v>193</v>
      </c>
      <c r="L102" s="9" t="s">
        <v>97</v>
      </c>
      <c r="M102" s="9" t="s">
        <v>448</v>
      </c>
      <c r="N102" s="9" t="s">
        <v>449</v>
      </c>
      <c r="O102" s="5">
        <v>0</v>
      </c>
      <c r="P102" s="5">
        <v>1</v>
      </c>
      <c r="Q102" s="22">
        <f>_xlfn.XLOOKUP(H102, 'Anexo A'!$E$1:$E$77, 'Anexo A'!$I$1:$I$77, "", 0)</f>
        <v>41178</v>
      </c>
      <c r="R102" s="1"/>
      <c r="Y102" s="22"/>
    </row>
    <row r="103" spans="1:25" ht="54" x14ac:dyDescent="0.2">
      <c r="A103" s="4">
        <v>738</v>
      </c>
      <c r="B103" s="5" t="s">
        <v>16</v>
      </c>
      <c r="C103" s="5" t="s">
        <v>450</v>
      </c>
      <c r="D103" s="5" t="s">
        <v>451</v>
      </c>
      <c r="E103" s="5">
        <v>17</v>
      </c>
      <c r="F103" s="6" t="s">
        <v>452</v>
      </c>
      <c r="G103" s="12" t="s">
        <v>453</v>
      </c>
      <c r="H103" s="7" t="s">
        <v>454</v>
      </c>
      <c r="I103" s="5" t="s">
        <v>85</v>
      </c>
      <c r="J103" s="9" t="s">
        <v>428</v>
      </c>
      <c r="K103" s="9" t="s">
        <v>158</v>
      </c>
      <c r="L103" s="9" t="s">
        <v>159</v>
      </c>
      <c r="M103" s="9" t="s">
        <v>455</v>
      </c>
      <c r="N103" s="9" t="s">
        <v>456</v>
      </c>
      <c r="O103" s="5">
        <v>0</v>
      </c>
      <c r="P103" s="5">
        <v>1</v>
      </c>
      <c r="Q103" s="22">
        <f>_xlfn.XLOOKUP(H103, 'Anexo A'!$E$1:$E$77, 'Anexo A'!$I$1:$I$77, "", 0)</f>
        <v>41213</v>
      </c>
      <c r="R103" s="1"/>
      <c r="Y103" s="22"/>
    </row>
    <row r="104" spans="1:25" ht="54" x14ac:dyDescent="0.2">
      <c r="A104" s="4">
        <v>738</v>
      </c>
      <c r="B104" s="5" t="s">
        <v>16</v>
      </c>
      <c r="C104" s="5" t="s">
        <v>450</v>
      </c>
      <c r="D104" s="5" t="s">
        <v>451</v>
      </c>
      <c r="E104" s="5">
        <v>17</v>
      </c>
      <c r="F104" s="6" t="s">
        <v>452</v>
      </c>
      <c r="G104" s="12" t="s">
        <v>453</v>
      </c>
      <c r="H104" s="7" t="s">
        <v>454</v>
      </c>
      <c r="I104" s="5" t="s">
        <v>85</v>
      </c>
      <c r="J104" s="9" t="s">
        <v>109</v>
      </c>
      <c r="K104" s="9" t="s">
        <v>158</v>
      </c>
      <c r="L104" s="9" t="s">
        <v>265</v>
      </c>
      <c r="M104" s="9" t="s">
        <v>457</v>
      </c>
      <c r="N104" s="9" t="s">
        <v>458</v>
      </c>
      <c r="O104" s="5">
        <v>0</v>
      </c>
      <c r="P104" s="5">
        <v>1</v>
      </c>
      <c r="Q104" s="22">
        <f>_xlfn.XLOOKUP(H104, 'Anexo A'!$E$1:$E$77, 'Anexo A'!$I$1:$I$77, "", 0)</f>
        <v>41213</v>
      </c>
      <c r="R104" s="1"/>
      <c r="Y104" s="22"/>
    </row>
    <row r="105" spans="1:25" ht="54" x14ac:dyDescent="0.2">
      <c r="A105" s="4">
        <v>738</v>
      </c>
      <c r="B105" s="13" t="s">
        <v>16</v>
      </c>
      <c r="C105" s="5" t="s">
        <v>459</v>
      </c>
      <c r="D105" s="5" t="s">
        <v>460</v>
      </c>
      <c r="E105" s="5">
        <v>18</v>
      </c>
      <c r="F105" s="6" t="s">
        <v>461</v>
      </c>
      <c r="G105" s="7">
        <v>9961006288</v>
      </c>
      <c r="H105" s="7" t="s">
        <v>462</v>
      </c>
      <c r="I105" s="4" t="s">
        <v>85</v>
      </c>
      <c r="J105" s="4">
        <v>16</v>
      </c>
      <c r="K105" s="4" t="s">
        <v>97</v>
      </c>
      <c r="L105" s="4" t="s">
        <v>97</v>
      </c>
      <c r="M105" s="4" t="s">
        <v>463</v>
      </c>
      <c r="N105" s="9" t="s">
        <v>464</v>
      </c>
      <c r="O105" s="5">
        <v>0</v>
      </c>
      <c r="P105" s="5">
        <v>1</v>
      </c>
      <c r="Q105" s="22">
        <f>_xlfn.XLOOKUP(H105, 'Anexo A'!$E$1:$E$77, 'Anexo A'!$I$1:$I$77, "", 0)</f>
        <v>41459</v>
      </c>
      <c r="R105" s="1"/>
      <c r="Y105" s="22"/>
    </row>
    <row r="106" spans="1:25" ht="54" x14ac:dyDescent="0.2">
      <c r="A106" s="4">
        <v>738</v>
      </c>
      <c r="B106" s="13" t="s">
        <v>16</v>
      </c>
      <c r="C106" s="5" t="s">
        <v>459</v>
      </c>
      <c r="D106" s="5" t="s">
        <v>460</v>
      </c>
      <c r="E106" s="5">
        <v>18</v>
      </c>
      <c r="F106" s="6" t="s">
        <v>461</v>
      </c>
      <c r="G106" s="7">
        <v>9961006288</v>
      </c>
      <c r="H106" s="7" t="s">
        <v>462</v>
      </c>
      <c r="I106" s="4" t="s">
        <v>57</v>
      </c>
      <c r="J106" s="15" t="s">
        <v>91</v>
      </c>
      <c r="K106" s="4" t="s">
        <v>465</v>
      </c>
      <c r="L106" s="4" t="s">
        <v>466</v>
      </c>
      <c r="M106" s="4">
        <v>36681</v>
      </c>
      <c r="N106" s="9" t="s">
        <v>467</v>
      </c>
      <c r="O106" s="5">
        <v>0</v>
      </c>
      <c r="P106" s="5">
        <v>1</v>
      </c>
      <c r="Q106" s="22">
        <f>_xlfn.XLOOKUP(H106, 'Anexo A'!$E$1:$E$77, 'Anexo A'!$I$1:$I$77, "", 0)</f>
        <v>41459</v>
      </c>
      <c r="R106" s="1"/>
      <c r="Y106" s="22"/>
    </row>
    <row r="107" spans="1:25" ht="54" x14ac:dyDescent="0.2">
      <c r="A107" s="4">
        <v>738</v>
      </c>
      <c r="B107" s="13" t="s">
        <v>16</v>
      </c>
      <c r="C107" s="5" t="s">
        <v>459</v>
      </c>
      <c r="D107" s="5" t="s">
        <v>460</v>
      </c>
      <c r="E107" s="5">
        <v>18</v>
      </c>
      <c r="F107" s="6" t="s">
        <v>461</v>
      </c>
      <c r="G107" s="7">
        <v>9961006288</v>
      </c>
      <c r="H107" s="7" t="s">
        <v>462</v>
      </c>
      <c r="I107" s="4" t="s">
        <v>85</v>
      </c>
      <c r="J107" s="4">
        <v>12</v>
      </c>
      <c r="K107" s="4" t="s">
        <v>403</v>
      </c>
      <c r="L107" s="4" t="s">
        <v>468</v>
      </c>
      <c r="M107" s="4" t="s">
        <v>469</v>
      </c>
      <c r="N107" s="9" t="s">
        <v>470</v>
      </c>
      <c r="O107" s="5">
        <v>0</v>
      </c>
      <c r="P107" s="5">
        <v>1</v>
      </c>
      <c r="Q107" s="22">
        <f>_xlfn.XLOOKUP(H107, 'Anexo A'!$E$1:$E$77, 'Anexo A'!$I$1:$I$77, "", 0)</f>
        <v>41459</v>
      </c>
      <c r="R107" s="1"/>
      <c r="Y107" s="22"/>
    </row>
    <row r="108" spans="1:25" ht="54" x14ac:dyDescent="0.2">
      <c r="A108" s="4">
        <v>738</v>
      </c>
      <c r="B108" s="13" t="s">
        <v>16</v>
      </c>
      <c r="C108" s="5" t="s">
        <v>459</v>
      </c>
      <c r="D108" s="5" t="s">
        <v>460</v>
      </c>
      <c r="E108" s="5">
        <v>18</v>
      </c>
      <c r="F108" s="6" t="s">
        <v>461</v>
      </c>
      <c r="G108" s="7">
        <v>9961006288</v>
      </c>
      <c r="H108" s="7" t="s">
        <v>462</v>
      </c>
      <c r="I108" s="4" t="s">
        <v>57</v>
      </c>
      <c r="J108" s="4" t="s">
        <v>471</v>
      </c>
      <c r="K108" s="4" t="s">
        <v>93</v>
      </c>
      <c r="L108" s="4" t="s">
        <v>472</v>
      </c>
      <c r="M108" s="4" t="s">
        <v>473</v>
      </c>
      <c r="N108" s="9" t="s">
        <v>474</v>
      </c>
      <c r="O108" s="5">
        <v>0</v>
      </c>
      <c r="P108" s="5">
        <v>1</v>
      </c>
      <c r="Q108" s="22">
        <f>_xlfn.XLOOKUP(H108, 'Anexo A'!$E$1:$E$77, 'Anexo A'!$I$1:$I$77, "", 0)</f>
        <v>41459</v>
      </c>
      <c r="R108" s="1"/>
      <c r="Y108" s="22"/>
    </row>
    <row r="109" spans="1:25" ht="54" x14ac:dyDescent="0.2">
      <c r="A109" s="4">
        <v>738</v>
      </c>
      <c r="B109" s="13" t="s">
        <v>16</v>
      </c>
      <c r="C109" s="5" t="s">
        <v>475</v>
      </c>
      <c r="D109" s="5" t="s">
        <v>476</v>
      </c>
      <c r="E109" s="5">
        <v>19</v>
      </c>
      <c r="F109" s="6" t="s">
        <v>477</v>
      </c>
      <c r="G109" s="7">
        <v>9818296516</v>
      </c>
      <c r="H109" s="7" t="s">
        <v>478</v>
      </c>
      <c r="I109" s="5" t="s">
        <v>85</v>
      </c>
      <c r="J109" s="4">
        <v>12</v>
      </c>
      <c r="K109" s="4" t="s">
        <v>86</v>
      </c>
      <c r="L109" s="4">
        <v>500</v>
      </c>
      <c r="M109" s="4" t="s">
        <v>479</v>
      </c>
      <c r="N109" s="9" t="s">
        <v>480</v>
      </c>
      <c r="O109" s="5">
        <v>0</v>
      </c>
      <c r="P109" s="5">
        <v>1</v>
      </c>
      <c r="Q109" s="22">
        <f>_xlfn.XLOOKUP(H109, 'Anexo A'!$E$1:$E$77, 'Anexo A'!$I$1:$I$77, "", 0)</f>
        <v>41874</v>
      </c>
      <c r="R109" s="1"/>
      <c r="Y109" s="22"/>
    </row>
    <row r="110" spans="1:25" ht="54" x14ac:dyDescent="0.2">
      <c r="A110" s="4">
        <v>738</v>
      </c>
      <c r="B110" s="13" t="s">
        <v>16</v>
      </c>
      <c r="C110" s="5" t="s">
        <v>475</v>
      </c>
      <c r="D110" s="5" t="s">
        <v>476</v>
      </c>
      <c r="E110" s="5">
        <v>19</v>
      </c>
      <c r="F110" s="6" t="s">
        <v>477</v>
      </c>
      <c r="G110" s="7">
        <v>9818296516</v>
      </c>
      <c r="H110" s="7" t="s">
        <v>478</v>
      </c>
      <c r="I110" s="5" t="s">
        <v>57</v>
      </c>
      <c r="J110" s="4" t="s">
        <v>58</v>
      </c>
      <c r="K110" s="4" t="s">
        <v>481</v>
      </c>
      <c r="L110" s="4" t="s">
        <v>482</v>
      </c>
      <c r="M110" s="4">
        <v>7804</v>
      </c>
      <c r="N110" s="9" t="s">
        <v>483</v>
      </c>
      <c r="O110" s="5">
        <v>0</v>
      </c>
      <c r="P110" s="5">
        <v>1</v>
      </c>
      <c r="Q110" s="22">
        <f>_xlfn.XLOOKUP(H110, 'Anexo A'!$E$1:$E$77, 'Anexo A'!$I$1:$I$77, "", 0)</f>
        <v>41874</v>
      </c>
      <c r="R110" s="1"/>
      <c r="Y110" s="22"/>
    </row>
    <row r="111" spans="1:25" ht="54" x14ac:dyDescent="0.2">
      <c r="A111" s="4">
        <v>738</v>
      </c>
      <c r="B111" s="13" t="s">
        <v>16</v>
      </c>
      <c r="C111" s="5" t="s">
        <v>475</v>
      </c>
      <c r="D111" s="5" t="s">
        <v>476</v>
      </c>
      <c r="E111" s="5">
        <v>19</v>
      </c>
      <c r="F111" s="6" t="s">
        <v>477</v>
      </c>
      <c r="G111" s="7">
        <v>9818296516</v>
      </c>
      <c r="H111" s="7" t="s">
        <v>478</v>
      </c>
      <c r="I111" s="5" t="s">
        <v>85</v>
      </c>
      <c r="J111" s="4" t="s">
        <v>119</v>
      </c>
      <c r="K111" s="4" t="s">
        <v>86</v>
      </c>
      <c r="L111" s="4">
        <v>500</v>
      </c>
      <c r="M111" s="4" t="s">
        <v>484</v>
      </c>
      <c r="N111" s="9" t="s">
        <v>485</v>
      </c>
      <c r="O111" s="5">
        <v>0</v>
      </c>
      <c r="P111" s="5">
        <v>1</v>
      </c>
      <c r="Q111" s="22">
        <f>_xlfn.XLOOKUP(H111, 'Anexo A'!$E$1:$E$77, 'Anexo A'!$I$1:$I$77, "", 0)</f>
        <v>41874</v>
      </c>
      <c r="R111" s="1"/>
      <c r="Y111" s="22"/>
    </row>
    <row r="112" spans="1:25" ht="54" x14ac:dyDescent="0.2">
      <c r="A112" s="4">
        <v>738</v>
      </c>
      <c r="B112" s="13" t="s">
        <v>16</v>
      </c>
      <c r="C112" s="5" t="s">
        <v>475</v>
      </c>
      <c r="D112" s="5" t="s">
        <v>476</v>
      </c>
      <c r="E112" s="5">
        <v>19</v>
      </c>
      <c r="F112" s="6" t="s">
        <v>477</v>
      </c>
      <c r="G112" s="7">
        <v>9818296516</v>
      </c>
      <c r="H112" s="7" t="s">
        <v>478</v>
      </c>
      <c r="I112" s="5" t="s">
        <v>57</v>
      </c>
      <c r="J112" s="4" t="s">
        <v>321</v>
      </c>
      <c r="K112" s="4" t="s">
        <v>86</v>
      </c>
      <c r="L112" s="4" t="s">
        <v>486</v>
      </c>
      <c r="M112" s="4" t="s">
        <v>487</v>
      </c>
      <c r="N112" s="9" t="s">
        <v>488</v>
      </c>
      <c r="O112" s="5">
        <v>0</v>
      </c>
      <c r="P112" s="5">
        <v>1</v>
      </c>
      <c r="Q112" s="22">
        <f>_xlfn.XLOOKUP(H112, 'Anexo A'!$E$1:$E$77, 'Anexo A'!$I$1:$I$77, "", 0)</f>
        <v>41874</v>
      </c>
      <c r="R112" s="1"/>
      <c r="Y112" s="22"/>
    </row>
    <row r="113" spans="1:25" ht="54" x14ac:dyDescent="0.2">
      <c r="A113" s="4">
        <v>738</v>
      </c>
      <c r="B113" s="13" t="s">
        <v>16</v>
      </c>
      <c r="C113" s="5" t="s">
        <v>475</v>
      </c>
      <c r="D113" s="5" t="s">
        <v>476</v>
      </c>
      <c r="E113" s="5">
        <v>19</v>
      </c>
      <c r="F113" s="6" t="s">
        <v>477</v>
      </c>
      <c r="G113" s="7">
        <v>9818296516</v>
      </c>
      <c r="H113" s="7" t="s">
        <v>478</v>
      </c>
      <c r="I113" s="5" t="s">
        <v>85</v>
      </c>
      <c r="J113" s="4" t="s">
        <v>164</v>
      </c>
      <c r="K113" s="4" t="s">
        <v>86</v>
      </c>
      <c r="L113" s="4">
        <v>930</v>
      </c>
      <c r="M113" s="4" t="s">
        <v>489</v>
      </c>
      <c r="N113" s="9" t="s">
        <v>490</v>
      </c>
      <c r="O113" s="5">
        <v>0</v>
      </c>
      <c r="P113" s="5">
        <v>1</v>
      </c>
      <c r="Q113" s="22">
        <f>_xlfn.XLOOKUP(H113, 'Anexo A'!$E$1:$E$77, 'Anexo A'!$I$1:$I$77, "", 0)</f>
        <v>41874</v>
      </c>
      <c r="R113" s="1"/>
      <c r="Y113" s="22"/>
    </row>
    <row r="114" spans="1:25" ht="54" x14ac:dyDescent="0.2">
      <c r="A114" s="4">
        <v>738</v>
      </c>
      <c r="B114" s="13" t="s">
        <v>16</v>
      </c>
      <c r="C114" s="5" t="s">
        <v>475</v>
      </c>
      <c r="D114" s="5" t="s">
        <v>476</v>
      </c>
      <c r="E114" s="5">
        <v>19</v>
      </c>
      <c r="F114" s="6" t="s">
        <v>477</v>
      </c>
      <c r="G114" s="7">
        <v>9818296516</v>
      </c>
      <c r="H114" s="7" t="s">
        <v>478</v>
      </c>
      <c r="I114" s="5" t="s">
        <v>57</v>
      </c>
      <c r="J114" s="4" t="s">
        <v>491</v>
      </c>
      <c r="K114" s="5" t="s">
        <v>23</v>
      </c>
      <c r="L114" s="4" t="s">
        <v>492</v>
      </c>
      <c r="M114" s="4" t="s">
        <v>493</v>
      </c>
      <c r="N114" s="9" t="s">
        <v>494</v>
      </c>
      <c r="O114" s="5">
        <v>0</v>
      </c>
      <c r="P114" s="5">
        <v>1</v>
      </c>
      <c r="Q114" s="22">
        <f>_xlfn.XLOOKUP(H114, 'Anexo A'!$E$1:$E$77, 'Anexo A'!$I$1:$I$77, "", 0)</f>
        <v>41874</v>
      </c>
      <c r="R114" s="1"/>
      <c r="Y114" s="22"/>
    </row>
    <row r="115" spans="1:25" ht="54" x14ac:dyDescent="0.2">
      <c r="A115" s="4">
        <v>738</v>
      </c>
      <c r="B115" s="13" t="s">
        <v>16</v>
      </c>
      <c r="C115" s="5" t="s">
        <v>495</v>
      </c>
      <c r="D115" s="5" t="s">
        <v>496</v>
      </c>
      <c r="E115" s="5">
        <v>20</v>
      </c>
      <c r="F115" s="6" t="s">
        <v>497</v>
      </c>
      <c r="G115" s="7">
        <v>9999001272</v>
      </c>
      <c r="H115" s="7" t="s">
        <v>498</v>
      </c>
      <c r="I115" s="5" t="s">
        <v>85</v>
      </c>
      <c r="J115" s="4" t="s">
        <v>164</v>
      </c>
      <c r="K115" s="4" t="s">
        <v>499</v>
      </c>
      <c r="L115" s="4" t="s">
        <v>500</v>
      </c>
      <c r="M115" s="4" t="s">
        <v>501</v>
      </c>
      <c r="N115" s="9" t="s">
        <v>502</v>
      </c>
      <c r="O115" s="5">
        <v>0</v>
      </c>
      <c r="P115" s="5">
        <v>1</v>
      </c>
      <c r="Q115" s="22">
        <f>_xlfn.XLOOKUP(H115, 'Anexo A'!$E$1:$E$77, 'Anexo A'!$I$1:$I$77, "", 0)</f>
        <v>42087</v>
      </c>
      <c r="R115" s="1"/>
      <c r="Y115" s="22"/>
    </row>
    <row r="116" spans="1:25" ht="54" x14ac:dyDescent="0.2">
      <c r="A116" s="4">
        <v>738</v>
      </c>
      <c r="B116" s="13" t="s">
        <v>16</v>
      </c>
      <c r="C116" s="5" t="s">
        <v>495</v>
      </c>
      <c r="D116" s="5" t="s">
        <v>496</v>
      </c>
      <c r="E116" s="5">
        <v>20</v>
      </c>
      <c r="F116" s="6" t="s">
        <v>497</v>
      </c>
      <c r="G116" s="7">
        <v>9999001272</v>
      </c>
      <c r="H116" s="7" t="s">
        <v>498</v>
      </c>
      <c r="I116" s="5" t="s">
        <v>57</v>
      </c>
      <c r="J116" s="4" t="s">
        <v>503</v>
      </c>
      <c r="K116" s="5" t="s">
        <v>504</v>
      </c>
      <c r="L116" s="4" t="s">
        <v>97</v>
      </c>
      <c r="M116" s="4" t="s">
        <v>505</v>
      </c>
      <c r="N116" s="9" t="s">
        <v>506</v>
      </c>
      <c r="O116" s="5">
        <v>0</v>
      </c>
      <c r="P116" s="5">
        <v>1</v>
      </c>
      <c r="Q116" s="22">
        <f>_xlfn.XLOOKUP(H116, 'Anexo A'!$E$1:$E$77, 'Anexo A'!$I$1:$I$77, "", 0)</f>
        <v>42087</v>
      </c>
      <c r="R116" s="1"/>
      <c r="Y116" s="22"/>
    </row>
    <row r="117" spans="1:25" ht="54" x14ac:dyDescent="0.2">
      <c r="A117" s="4">
        <v>738</v>
      </c>
      <c r="B117" s="13" t="s">
        <v>16</v>
      </c>
      <c r="C117" s="5" t="s">
        <v>495</v>
      </c>
      <c r="D117" s="5" t="s">
        <v>496</v>
      </c>
      <c r="E117" s="5">
        <v>20</v>
      </c>
      <c r="F117" s="6" t="s">
        <v>497</v>
      </c>
      <c r="G117" s="7">
        <v>9999001272</v>
      </c>
      <c r="H117" s="7" t="s">
        <v>498</v>
      </c>
      <c r="I117" s="5" t="s">
        <v>57</v>
      </c>
      <c r="J117" s="4" t="s">
        <v>58</v>
      </c>
      <c r="K117" s="4" t="s">
        <v>507</v>
      </c>
      <c r="L117" s="4" t="s">
        <v>508</v>
      </c>
      <c r="M117" s="4" t="s">
        <v>509</v>
      </c>
      <c r="N117" s="9" t="s">
        <v>510</v>
      </c>
      <c r="O117" s="5">
        <v>0</v>
      </c>
      <c r="P117" s="5">
        <v>1</v>
      </c>
      <c r="Q117" s="22">
        <f>_xlfn.XLOOKUP(H117, 'Anexo A'!$E$1:$E$77, 'Anexo A'!$I$1:$I$77, "", 0)</f>
        <v>42087</v>
      </c>
      <c r="R117" s="1"/>
      <c r="Y117" s="22"/>
    </row>
    <row r="118" spans="1:25" ht="54" x14ac:dyDescent="0.2">
      <c r="A118" s="4">
        <v>738</v>
      </c>
      <c r="B118" s="13" t="s">
        <v>16</v>
      </c>
      <c r="C118" s="5" t="s">
        <v>495</v>
      </c>
      <c r="D118" s="5" t="s">
        <v>496</v>
      </c>
      <c r="E118" s="5">
        <v>20</v>
      </c>
      <c r="F118" s="6" t="s">
        <v>497</v>
      </c>
      <c r="G118" s="7">
        <v>9999001272</v>
      </c>
      <c r="H118" s="7" t="s">
        <v>498</v>
      </c>
      <c r="I118" s="5" t="s">
        <v>57</v>
      </c>
      <c r="J118" s="4" t="s">
        <v>58</v>
      </c>
      <c r="K118" s="4" t="s">
        <v>507</v>
      </c>
      <c r="L118" s="4" t="s">
        <v>508</v>
      </c>
      <c r="M118" s="4" t="s">
        <v>511</v>
      </c>
      <c r="N118" s="9" t="s">
        <v>512</v>
      </c>
      <c r="O118" s="5">
        <v>0</v>
      </c>
      <c r="P118" s="5">
        <v>1</v>
      </c>
      <c r="Q118" s="22">
        <f>_xlfn.XLOOKUP(H118, 'Anexo A'!$E$1:$E$77, 'Anexo A'!$I$1:$I$77, "", 0)</f>
        <v>42087</v>
      </c>
      <c r="R118" s="1"/>
      <c r="Y118" s="22"/>
    </row>
    <row r="119" spans="1:25" ht="54" x14ac:dyDescent="0.2">
      <c r="A119" s="4">
        <v>738</v>
      </c>
      <c r="B119" s="13" t="s">
        <v>16</v>
      </c>
      <c r="C119" s="5" t="s">
        <v>495</v>
      </c>
      <c r="D119" s="5" t="s">
        <v>496</v>
      </c>
      <c r="E119" s="5">
        <v>20</v>
      </c>
      <c r="F119" s="6" t="s">
        <v>497</v>
      </c>
      <c r="G119" s="7">
        <v>9999001272</v>
      </c>
      <c r="H119" s="7" t="s">
        <v>498</v>
      </c>
      <c r="I119" s="5" t="s">
        <v>57</v>
      </c>
      <c r="J119" s="4" t="s">
        <v>58</v>
      </c>
      <c r="K119" s="5" t="s">
        <v>507</v>
      </c>
      <c r="L119" s="4" t="s">
        <v>508</v>
      </c>
      <c r="M119" s="4" t="s">
        <v>513</v>
      </c>
      <c r="N119" s="9" t="s">
        <v>514</v>
      </c>
      <c r="O119" s="5">
        <v>0</v>
      </c>
      <c r="P119" s="5">
        <v>1</v>
      </c>
      <c r="Q119" s="22">
        <f>_xlfn.XLOOKUP(H119, 'Anexo A'!$E$1:$E$77, 'Anexo A'!$I$1:$I$77, "", 0)</f>
        <v>42087</v>
      </c>
      <c r="R119" s="1"/>
      <c r="Y119" s="22"/>
    </row>
    <row r="120" spans="1:25" ht="54" x14ac:dyDescent="0.2">
      <c r="A120" s="4">
        <v>738</v>
      </c>
      <c r="B120" s="13" t="s">
        <v>16</v>
      </c>
      <c r="C120" s="5" t="s">
        <v>515</v>
      </c>
      <c r="D120" s="5" t="s">
        <v>516</v>
      </c>
      <c r="E120" s="5">
        <v>21</v>
      </c>
      <c r="F120" s="6" t="s">
        <v>517</v>
      </c>
      <c r="G120" s="7">
        <v>9992005550</v>
      </c>
      <c r="H120" s="7" t="s">
        <v>518</v>
      </c>
      <c r="I120" s="5" t="s">
        <v>85</v>
      </c>
      <c r="J120" s="5" t="s">
        <v>164</v>
      </c>
      <c r="K120" s="5" t="s">
        <v>110</v>
      </c>
      <c r="L120" s="5" t="s">
        <v>519</v>
      </c>
      <c r="M120" s="5" t="s">
        <v>520</v>
      </c>
      <c r="N120" s="5" t="s">
        <v>521</v>
      </c>
      <c r="O120" s="5">
        <v>0</v>
      </c>
      <c r="P120" s="5">
        <v>1</v>
      </c>
      <c r="Q120" s="22">
        <f>_xlfn.XLOOKUP(H120, 'Anexo A'!$E$1:$E$77, 'Anexo A'!$I$1:$I$77, "", 0)</f>
        <v>42280</v>
      </c>
      <c r="R120" s="1"/>
      <c r="Y120" s="22"/>
    </row>
    <row r="121" spans="1:25" ht="54" x14ac:dyDescent="0.2">
      <c r="A121" s="4">
        <v>738</v>
      </c>
      <c r="B121" s="13" t="s">
        <v>16</v>
      </c>
      <c r="C121" s="5" t="s">
        <v>515</v>
      </c>
      <c r="D121" s="5" t="s">
        <v>516</v>
      </c>
      <c r="E121" s="5">
        <v>21</v>
      </c>
      <c r="F121" s="6" t="s">
        <v>517</v>
      </c>
      <c r="G121" s="7">
        <v>9992005550</v>
      </c>
      <c r="H121" s="7" t="s">
        <v>518</v>
      </c>
      <c r="I121" s="5" t="s">
        <v>85</v>
      </c>
      <c r="J121" s="4" t="s">
        <v>164</v>
      </c>
      <c r="K121" s="4" t="s">
        <v>499</v>
      </c>
      <c r="L121" s="4" t="s">
        <v>522</v>
      </c>
      <c r="M121" s="5" t="s">
        <v>523</v>
      </c>
      <c r="N121" s="5" t="s">
        <v>524</v>
      </c>
      <c r="O121" s="5">
        <v>0</v>
      </c>
      <c r="P121" s="5">
        <v>1</v>
      </c>
      <c r="Q121" s="22">
        <f>_xlfn.XLOOKUP(H121, 'Anexo A'!$E$1:$E$77, 'Anexo A'!$I$1:$I$77, "", 0)</f>
        <v>42280</v>
      </c>
      <c r="R121" s="1"/>
      <c r="Y121" s="22"/>
    </row>
    <row r="122" spans="1:25" ht="54" x14ac:dyDescent="0.2">
      <c r="A122" s="4">
        <v>738</v>
      </c>
      <c r="B122" s="13" t="s">
        <v>16</v>
      </c>
      <c r="C122" s="5" t="s">
        <v>515</v>
      </c>
      <c r="D122" s="5" t="s">
        <v>516</v>
      </c>
      <c r="E122" s="5">
        <v>21</v>
      </c>
      <c r="F122" s="6" t="s">
        <v>517</v>
      </c>
      <c r="G122" s="7">
        <v>9992005550</v>
      </c>
      <c r="H122" s="7" t="s">
        <v>518</v>
      </c>
      <c r="I122" s="5" t="s">
        <v>21</v>
      </c>
      <c r="J122" s="5" t="s">
        <v>22</v>
      </c>
      <c r="K122" s="8" t="s">
        <v>23</v>
      </c>
      <c r="L122" s="16" t="s">
        <v>24</v>
      </c>
      <c r="M122" s="4" t="s">
        <v>525</v>
      </c>
      <c r="N122" s="5" t="s">
        <v>526</v>
      </c>
      <c r="O122" s="5">
        <v>1</v>
      </c>
      <c r="P122" s="5">
        <v>0</v>
      </c>
      <c r="Q122" s="22">
        <f>_xlfn.XLOOKUP(H122, 'Anexo A'!$E$1:$E$77, 'Anexo A'!$I$1:$I$77, "", 0)</f>
        <v>42280</v>
      </c>
      <c r="R122" s="1"/>
      <c r="Y122" s="22"/>
    </row>
    <row r="123" spans="1:25" ht="54" x14ac:dyDescent="0.2">
      <c r="A123" s="4">
        <v>738</v>
      </c>
      <c r="B123" s="13" t="s">
        <v>16</v>
      </c>
      <c r="C123" s="5" t="s">
        <v>515</v>
      </c>
      <c r="D123" s="5" t="s">
        <v>516</v>
      </c>
      <c r="E123" s="5">
        <v>21</v>
      </c>
      <c r="F123" s="6" t="s">
        <v>517</v>
      </c>
      <c r="G123" s="7">
        <v>9992005550</v>
      </c>
      <c r="H123" s="7" t="s">
        <v>518</v>
      </c>
      <c r="I123" s="4" t="s">
        <v>57</v>
      </c>
      <c r="J123" s="4" t="s">
        <v>35</v>
      </c>
      <c r="K123" s="5" t="s">
        <v>23</v>
      </c>
      <c r="L123" s="4" t="s">
        <v>212</v>
      </c>
      <c r="M123" s="5" t="s">
        <v>527</v>
      </c>
      <c r="N123" s="5" t="s">
        <v>528</v>
      </c>
      <c r="O123" s="5">
        <v>0</v>
      </c>
      <c r="P123" s="5">
        <v>1</v>
      </c>
      <c r="Q123" s="22">
        <f>_xlfn.XLOOKUP(H123, 'Anexo A'!$E$1:$E$77, 'Anexo A'!$I$1:$I$77, "", 0)</f>
        <v>42280</v>
      </c>
      <c r="R123" s="1"/>
      <c r="Y123" s="22"/>
    </row>
    <row r="124" spans="1:25" ht="54" x14ac:dyDescent="0.2">
      <c r="A124" s="4">
        <v>738</v>
      </c>
      <c r="B124" s="13" t="s">
        <v>16</v>
      </c>
      <c r="C124" s="5" t="s">
        <v>515</v>
      </c>
      <c r="D124" s="5" t="s">
        <v>516</v>
      </c>
      <c r="E124" s="5">
        <v>21</v>
      </c>
      <c r="F124" s="6" t="s">
        <v>517</v>
      </c>
      <c r="G124" s="7">
        <v>9992005550</v>
      </c>
      <c r="H124" s="7" t="s">
        <v>518</v>
      </c>
      <c r="I124" s="5" t="s">
        <v>29</v>
      </c>
      <c r="J124" s="5" t="s">
        <v>30</v>
      </c>
      <c r="K124" s="8" t="s">
        <v>23</v>
      </c>
      <c r="L124" s="16" t="s">
        <v>24</v>
      </c>
      <c r="M124" s="5" t="s">
        <v>529</v>
      </c>
      <c r="N124" s="5" t="s">
        <v>530</v>
      </c>
      <c r="O124" s="5">
        <v>1</v>
      </c>
      <c r="P124" s="5">
        <v>0</v>
      </c>
      <c r="Q124" s="22">
        <f>_xlfn.XLOOKUP(H124, 'Anexo A'!$E$1:$E$77, 'Anexo A'!$I$1:$I$77, "", 0)</f>
        <v>42280</v>
      </c>
      <c r="R124" s="1"/>
      <c r="Y124" s="22"/>
    </row>
    <row r="125" spans="1:25" ht="54" x14ac:dyDescent="0.2">
      <c r="A125" s="4">
        <v>738</v>
      </c>
      <c r="B125" s="13" t="s">
        <v>16</v>
      </c>
      <c r="C125" s="5" t="s">
        <v>515</v>
      </c>
      <c r="D125" s="5" t="s">
        <v>516</v>
      </c>
      <c r="E125" s="5">
        <v>21</v>
      </c>
      <c r="F125" s="6" t="s">
        <v>517</v>
      </c>
      <c r="G125" s="7">
        <v>9992005550</v>
      </c>
      <c r="H125" s="7" t="s">
        <v>518</v>
      </c>
      <c r="I125" s="5" t="s">
        <v>57</v>
      </c>
      <c r="J125" s="4" t="s">
        <v>531</v>
      </c>
      <c r="K125" s="8" t="s">
        <v>23</v>
      </c>
      <c r="L125" s="16" t="s">
        <v>532</v>
      </c>
      <c r="M125" s="5" t="s">
        <v>533</v>
      </c>
      <c r="N125" s="5" t="s">
        <v>534</v>
      </c>
      <c r="O125" s="5">
        <v>0</v>
      </c>
      <c r="P125" s="5">
        <v>1</v>
      </c>
      <c r="Q125" s="22">
        <f>_xlfn.XLOOKUP(H125, 'Anexo A'!$E$1:$E$77, 'Anexo A'!$I$1:$I$77, "", 0)</f>
        <v>42280</v>
      </c>
      <c r="R125" s="1"/>
      <c r="Y125" s="22"/>
    </row>
    <row r="126" spans="1:25" ht="54" x14ac:dyDescent="0.2">
      <c r="A126" s="4">
        <v>738</v>
      </c>
      <c r="B126" s="13" t="s">
        <v>16</v>
      </c>
      <c r="C126" s="5" t="s">
        <v>535</v>
      </c>
      <c r="D126" s="5" t="s">
        <v>536</v>
      </c>
      <c r="E126" s="5">
        <v>22</v>
      </c>
      <c r="F126" s="6" t="s">
        <v>537</v>
      </c>
      <c r="G126" s="7">
        <v>9999490494</v>
      </c>
      <c r="H126" s="7" t="s">
        <v>538</v>
      </c>
      <c r="I126" s="5" t="s">
        <v>21</v>
      </c>
      <c r="J126" s="4" t="s">
        <v>45</v>
      </c>
      <c r="K126" s="5" t="s">
        <v>53</v>
      </c>
      <c r="L126" s="4">
        <v>25</v>
      </c>
      <c r="M126" s="5" t="s">
        <v>539</v>
      </c>
      <c r="N126" s="5" t="s">
        <v>540</v>
      </c>
      <c r="O126" s="5">
        <v>1</v>
      </c>
      <c r="P126" s="5">
        <v>0</v>
      </c>
      <c r="Q126" s="22">
        <f>_xlfn.XLOOKUP(H126, 'Anexo A'!$E$1:$E$77, 'Anexo A'!$I$1:$I$77, "", 0)</f>
        <v>42348</v>
      </c>
      <c r="R126" s="1"/>
      <c r="Y126" s="22"/>
    </row>
    <row r="127" spans="1:25" ht="54" x14ac:dyDescent="0.2">
      <c r="A127" s="4">
        <v>738</v>
      </c>
      <c r="B127" s="13" t="s">
        <v>16</v>
      </c>
      <c r="C127" s="5" t="s">
        <v>535</v>
      </c>
      <c r="D127" s="5" t="s">
        <v>536</v>
      </c>
      <c r="E127" s="5">
        <v>22</v>
      </c>
      <c r="F127" s="6" t="s">
        <v>537</v>
      </c>
      <c r="G127" s="7">
        <v>9999490494</v>
      </c>
      <c r="H127" s="7" t="s">
        <v>538</v>
      </c>
      <c r="I127" s="5" t="s">
        <v>57</v>
      </c>
      <c r="J127" s="4" t="s">
        <v>58</v>
      </c>
      <c r="K127" s="5" t="s">
        <v>507</v>
      </c>
      <c r="L127" s="4" t="s">
        <v>508</v>
      </c>
      <c r="M127" s="5" t="s">
        <v>541</v>
      </c>
      <c r="N127" s="5" t="s">
        <v>542</v>
      </c>
      <c r="O127" s="5">
        <v>0</v>
      </c>
      <c r="P127" s="5">
        <v>1</v>
      </c>
      <c r="Q127" s="22">
        <f>_xlfn.XLOOKUP(H127, 'Anexo A'!$E$1:$E$77, 'Anexo A'!$I$1:$I$77, "", 0)</f>
        <v>42348</v>
      </c>
      <c r="R127" s="1"/>
      <c r="Y127" s="22"/>
    </row>
    <row r="128" spans="1:25" ht="54" x14ac:dyDescent="0.2">
      <c r="A128" s="4">
        <v>738</v>
      </c>
      <c r="B128" s="13" t="s">
        <v>16</v>
      </c>
      <c r="C128" s="5" t="s">
        <v>535</v>
      </c>
      <c r="D128" s="5" t="s">
        <v>536</v>
      </c>
      <c r="E128" s="5">
        <v>22</v>
      </c>
      <c r="F128" s="6" t="s">
        <v>537</v>
      </c>
      <c r="G128" s="7">
        <v>9999490494</v>
      </c>
      <c r="H128" s="7" t="s">
        <v>538</v>
      </c>
      <c r="I128" s="5" t="s">
        <v>57</v>
      </c>
      <c r="J128" s="4" t="s">
        <v>543</v>
      </c>
      <c r="K128" s="5" t="s">
        <v>93</v>
      </c>
      <c r="L128" s="4" t="s">
        <v>544</v>
      </c>
      <c r="M128" s="5" t="s">
        <v>545</v>
      </c>
      <c r="N128" s="5" t="s">
        <v>546</v>
      </c>
      <c r="O128" s="5">
        <v>0</v>
      </c>
      <c r="P128" s="5">
        <v>1</v>
      </c>
      <c r="Q128" s="22">
        <f>_xlfn.XLOOKUP(H128, 'Anexo A'!$E$1:$E$77, 'Anexo A'!$I$1:$I$77, "", 0)</f>
        <v>42348</v>
      </c>
      <c r="R128" s="1"/>
      <c r="Y128" s="22"/>
    </row>
    <row r="129" spans="1:25" ht="54" x14ac:dyDescent="0.2">
      <c r="A129" s="4">
        <v>738</v>
      </c>
      <c r="B129" s="13" t="s">
        <v>16</v>
      </c>
      <c r="C129" s="5" t="s">
        <v>535</v>
      </c>
      <c r="D129" s="5" t="s">
        <v>536</v>
      </c>
      <c r="E129" s="5">
        <v>22</v>
      </c>
      <c r="F129" s="6" t="s">
        <v>537</v>
      </c>
      <c r="G129" s="7">
        <v>9999490494</v>
      </c>
      <c r="H129" s="7" t="s">
        <v>538</v>
      </c>
      <c r="I129" s="5" t="s">
        <v>85</v>
      </c>
      <c r="J129" s="4" t="s">
        <v>164</v>
      </c>
      <c r="K129" s="5" t="s">
        <v>154</v>
      </c>
      <c r="L129" s="4">
        <v>1100</v>
      </c>
      <c r="M129" s="5" t="s">
        <v>547</v>
      </c>
      <c r="N129" s="5" t="s">
        <v>548</v>
      </c>
      <c r="O129" s="5">
        <v>0</v>
      </c>
      <c r="P129" s="5">
        <v>1</v>
      </c>
      <c r="Q129" s="22">
        <f>_xlfn.XLOOKUP(H129, 'Anexo A'!$E$1:$E$77, 'Anexo A'!$I$1:$I$77, "", 0)</f>
        <v>42348</v>
      </c>
      <c r="R129" s="1"/>
      <c r="Y129" s="22"/>
    </row>
    <row r="130" spans="1:25" ht="54" x14ac:dyDescent="0.2">
      <c r="A130" s="4">
        <v>738</v>
      </c>
      <c r="B130" s="13" t="s">
        <v>16</v>
      </c>
      <c r="C130" s="5" t="s">
        <v>535</v>
      </c>
      <c r="D130" s="5" t="s">
        <v>536</v>
      </c>
      <c r="E130" s="5">
        <v>22</v>
      </c>
      <c r="F130" s="6" t="s">
        <v>537</v>
      </c>
      <c r="G130" s="7">
        <v>9999490494</v>
      </c>
      <c r="H130" s="7" t="s">
        <v>538</v>
      </c>
      <c r="I130" s="5" t="s">
        <v>72</v>
      </c>
      <c r="J130" s="4" t="s">
        <v>58</v>
      </c>
      <c r="K130" s="5" t="s">
        <v>233</v>
      </c>
      <c r="L130" s="4" t="s">
        <v>97</v>
      </c>
      <c r="M130" s="5" t="s">
        <v>549</v>
      </c>
      <c r="N130" s="5" t="s">
        <v>550</v>
      </c>
      <c r="O130" s="5">
        <v>1</v>
      </c>
      <c r="P130" s="5">
        <v>0</v>
      </c>
      <c r="Q130" s="22">
        <f>_xlfn.XLOOKUP(H130, 'Anexo A'!$E$1:$E$77, 'Anexo A'!$I$1:$I$77, "", 0)</f>
        <v>42348</v>
      </c>
      <c r="R130" s="1"/>
      <c r="Y130" s="22"/>
    </row>
    <row r="131" spans="1:25" ht="54" x14ac:dyDescent="0.2">
      <c r="A131" s="4">
        <v>738</v>
      </c>
      <c r="B131" s="13" t="s">
        <v>16</v>
      </c>
      <c r="C131" s="5" t="s">
        <v>535</v>
      </c>
      <c r="D131" s="5" t="s">
        <v>536</v>
      </c>
      <c r="E131" s="5">
        <v>22</v>
      </c>
      <c r="F131" s="6" t="s">
        <v>537</v>
      </c>
      <c r="G131" s="7">
        <v>9999490494</v>
      </c>
      <c r="H131" s="7" t="s">
        <v>538</v>
      </c>
      <c r="I131" s="5" t="s">
        <v>57</v>
      </c>
      <c r="J131" s="4" t="s">
        <v>253</v>
      </c>
      <c r="K131" s="5" t="s">
        <v>158</v>
      </c>
      <c r="L131" s="4" t="s">
        <v>254</v>
      </c>
      <c r="M131" s="5" t="s">
        <v>551</v>
      </c>
      <c r="N131" s="5" t="s">
        <v>552</v>
      </c>
      <c r="O131" s="5">
        <v>0</v>
      </c>
      <c r="P131" s="5">
        <v>1</v>
      </c>
      <c r="Q131" s="22">
        <f>_xlfn.XLOOKUP(H131, 'Anexo A'!$E$1:$E$77, 'Anexo A'!$I$1:$I$77, "", 0)</f>
        <v>42348</v>
      </c>
      <c r="R131" s="1"/>
      <c r="Y131" s="22"/>
    </row>
    <row r="132" spans="1:25" ht="54" x14ac:dyDescent="0.2">
      <c r="A132" s="4">
        <v>738</v>
      </c>
      <c r="B132" s="13" t="s">
        <v>16</v>
      </c>
      <c r="C132" s="5" t="s">
        <v>553</v>
      </c>
      <c r="D132" s="5" t="s">
        <v>554</v>
      </c>
      <c r="E132" s="5">
        <v>23</v>
      </c>
      <c r="F132" s="6" t="s">
        <v>555</v>
      </c>
      <c r="G132" s="7">
        <v>9992429052</v>
      </c>
      <c r="H132" s="7" t="s">
        <v>556</v>
      </c>
      <c r="I132" s="5" t="s">
        <v>57</v>
      </c>
      <c r="J132" s="4" t="s">
        <v>341</v>
      </c>
      <c r="K132" s="5" t="s">
        <v>158</v>
      </c>
      <c r="L132" s="4" t="s">
        <v>254</v>
      </c>
      <c r="M132" s="5" t="s">
        <v>557</v>
      </c>
      <c r="N132" s="5" t="s">
        <v>558</v>
      </c>
      <c r="O132" s="5">
        <v>0</v>
      </c>
      <c r="P132" s="5">
        <v>1</v>
      </c>
      <c r="Q132" s="22">
        <f>_xlfn.XLOOKUP(H132, 'Anexo A'!$E$1:$E$77, 'Anexo A'!$I$1:$I$77, "", 0)</f>
        <v>42440</v>
      </c>
      <c r="R132" s="1"/>
      <c r="Y132" s="22"/>
    </row>
    <row r="133" spans="1:25" ht="54" x14ac:dyDescent="0.2">
      <c r="A133" s="4">
        <v>738</v>
      </c>
      <c r="B133" s="13" t="s">
        <v>16</v>
      </c>
      <c r="C133" s="5" t="s">
        <v>553</v>
      </c>
      <c r="D133" s="5" t="s">
        <v>554</v>
      </c>
      <c r="E133" s="5">
        <v>23</v>
      </c>
      <c r="F133" s="6" t="s">
        <v>555</v>
      </c>
      <c r="G133" s="7">
        <v>9992429052</v>
      </c>
      <c r="H133" s="7" t="s">
        <v>556</v>
      </c>
      <c r="I133" s="5" t="s">
        <v>85</v>
      </c>
      <c r="J133" s="4" t="s">
        <v>164</v>
      </c>
      <c r="K133" s="5" t="s">
        <v>382</v>
      </c>
      <c r="L133" s="4" t="s">
        <v>383</v>
      </c>
      <c r="M133" s="5" t="s">
        <v>559</v>
      </c>
      <c r="N133" s="5" t="s">
        <v>560</v>
      </c>
      <c r="O133" s="5">
        <v>0</v>
      </c>
      <c r="P133" s="5">
        <v>1</v>
      </c>
      <c r="Q133" s="22">
        <f>_xlfn.XLOOKUP(H133, 'Anexo A'!$E$1:$E$77, 'Anexo A'!$I$1:$I$77, "", 0)</f>
        <v>42440</v>
      </c>
      <c r="R133" s="1"/>
      <c r="Y133" s="22"/>
    </row>
    <row r="134" spans="1:25" ht="54" x14ac:dyDescent="0.2">
      <c r="A134" s="4">
        <v>738</v>
      </c>
      <c r="B134" s="13" t="s">
        <v>16</v>
      </c>
      <c r="C134" s="5" t="s">
        <v>553</v>
      </c>
      <c r="D134" s="5" t="s">
        <v>554</v>
      </c>
      <c r="E134" s="5">
        <v>23</v>
      </c>
      <c r="F134" s="6" t="s">
        <v>555</v>
      </c>
      <c r="G134" s="7">
        <v>9992429052</v>
      </c>
      <c r="H134" s="7" t="s">
        <v>556</v>
      </c>
      <c r="I134" s="5" t="s">
        <v>21</v>
      </c>
      <c r="J134" s="4" t="s">
        <v>356</v>
      </c>
      <c r="K134" s="5" t="s">
        <v>53</v>
      </c>
      <c r="L134" s="4">
        <v>25</v>
      </c>
      <c r="M134" s="5" t="s">
        <v>561</v>
      </c>
      <c r="N134" s="5" t="s">
        <v>562</v>
      </c>
      <c r="O134" s="5">
        <v>1</v>
      </c>
      <c r="P134" s="5">
        <v>0</v>
      </c>
      <c r="Q134" s="22">
        <f>_xlfn.XLOOKUP(H134, 'Anexo A'!$E$1:$E$77, 'Anexo A'!$I$1:$I$77, "", 0)</f>
        <v>42440</v>
      </c>
      <c r="R134" s="1"/>
      <c r="Y134" s="22"/>
    </row>
    <row r="135" spans="1:25" ht="54" x14ac:dyDescent="0.2">
      <c r="A135" s="4">
        <v>738</v>
      </c>
      <c r="B135" s="13" t="s">
        <v>16</v>
      </c>
      <c r="C135" s="5" t="s">
        <v>553</v>
      </c>
      <c r="D135" s="5" t="s">
        <v>554</v>
      </c>
      <c r="E135" s="5">
        <v>23</v>
      </c>
      <c r="F135" s="6" t="s">
        <v>555</v>
      </c>
      <c r="G135" s="7">
        <v>9992429052</v>
      </c>
      <c r="H135" s="7" t="s">
        <v>556</v>
      </c>
      <c r="I135" s="5" t="s">
        <v>21</v>
      </c>
      <c r="J135" s="4" t="s">
        <v>563</v>
      </c>
      <c r="K135" s="5" t="s">
        <v>23</v>
      </c>
      <c r="L135" s="4" t="s">
        <v>564</v>
      </c>
      <c r="M135" s="5" t="s">
        <v>565</v>
      </c>
      <c r="N135" s="5" t="s">
        <v>566</v>
      </c>
      <c r="O135" s="5">
        <v>1</v>
      </c>
      <c r="P135" s="5">
        <v>0</v>
      </c>
      <c r="Q135" s="22">
        <f>_xlfn.XLOOKUP(H135, 'Anexo A'!$E$1:$E$77, 'Anexo A'!$I$1:$I$77, "", 0)</f>
        <v>42440</v>
      </c>
      <c r="R135" s="1"/>
      <c r="Y135" s="22"/>
    </row>
    <row r="136" spans="1:25" ht="54" x14ac:dyDescent="0.2">
      <c r="A136" s="4">
        <v>738</v>
      </c>
      <c r="B136" s="13" t="s">
        <v>16</v>
      </c>
      <c r="C136" s="5" t="s">
        <v>553</v>
      </c>
      <c r="D136" s="5" t="s">
        <v>554</v>
      </c>
      <c r="E136" s="5">
        <v>23</v>
      </c>
      <c r="F136" s="6" t="s">
        <v>555</v>
      </c>
      <c r="G136" s="7">
        <v>9992429052</v>
      </c>
      <c r="H136" s="7" t="s">
        <v>556</v>
      </c>
      <c r="I136" s="5" t="s">
        <v>57</v>
      </c>
      <c r="J136" s="4" t="s">
        <v>35</v>
      </c>
      <c r="K136" s="5" t="s">
        <v>136</v>
      </c>
      <c r="L136" s="17" t="s">
        <v>567</v>
      </c>
      <c r="M136" s="5" t="s">
        <v>568</v>
      </c>
      <c r="N136" s="5" t="s">
        <v>569</v>
      </c>
      <c r="O136" s="5">
        <v>0</v>
      </c>
      <c r="P136" s="5">
        <v>1</v>
      </c>
      <c r="Q136" s="22">
        <f>_xlfn.XLOOKUP(H136, 'Anexo A'!$E$1:$E$77, 'Anexo A'!$I$1:$I$77, "", 0)</f>
        <v>42440</v>
      </c>
      <c r="R136" s="1"/>
      <c r="Y136" s="22"/>
    </row>
    <row r="137" spans="1:25" ht="54" x14ac:dyDescent="0.2">
      <c r="A137" s="4">
        <v>738</v>
      </c>
      <c r="B137" s="13" t="s">
        <v>16</v>
      </c>
      <c r="C137" s="5" t="s">
        <v>553</v>
      </c>
      <c r="D137" s="5" t="s">
        <v>554</v>
      </c>
      <c r="E137" s="5">
        <v>23</v>
      </c>
      <c r="F137" s="6" t="s">
        <v>555</v>
      </c>
      <c r="G137" s="7">
        <v>9992429052</v>
      </c>
      <c r="H137" s="7" t="s">
        <v>556</v>
      </c>
      <c r="I137" s="5" t="s">
        <v>57</v>
      </c>
      <c r="J137" s="4" t="s">
        <v>35</v>
      </c>
      <c r="K137" s="5" t="s">
        <v>570</v>
      </c>
      <c r="L137" s="4" t="s">
        <v>571</v>
      </c>
      <c r="M137" s="5" t="s">
        <v>572</v>
      </c>
      <c r="N137" s="5" t="s">
        <v>573</v>
      </c>
      <c r="O137" s="5">
        <v>0</v>
      </c>
      <c r="P137" s="5">
        <v>1</v>
      </c>
      <c r="Q137" s="22">
        <f>_xlfn.XLOOKUP(H137, 'Anexo A'!$E$1:$E$77, 'Anexo A'!$I$1:$I$77, "", 0)</f>
        <v>42440</v>
      </c>
      <c r="R137" s="1"/>
      <c r="Y137" s="22"/>
    </row>
    <row r="138" spans="1:25" ht="54" x14ac:dyDescent="0.2">
      <c r="A138" s="4">
        <v>738</v>
      </c>
      <c r="B138" s="13" t="s">
        <v>16</v>
      </c>
      <c r="C138" s="5" t="s">
        <v>553</v>
      </c>
      <c r="D138" s="5" t="s">
        <v>554</v>
      </c>
      <c r="E138" s="5">
        <v>23</v>
      </c>
      <c r="F138" s="6" t="s">
        <v>555</v>
      </c>
      <c r="G138" s="7">
        <v>9992429052</v>
      </c>
      <c r="H138" s="7" t="s">
        <v>556</v>
      </c>
      <c r="I138" s="5" t="s">
        <v>85</v>
      </c>
      <c r="J138" s="4" t="s">
        <v>164</v>
      </c>
      <c r="K138" s="5" t="s">
        <v>86</v>
      </c>
      <c r="L138" s="4">
        <v>590</v>
      </c>
      <c r="M138" s="5" t="s">
        <v>574</v>
      </c>
      <c r="N138" s="5" t="s">
        <v>575</v>
      </c>
      <c r="O138" s="5">
        <v>0</v>
      </c>
      <c r="P138" s="5">
        <v>1</v>
      </c>
      <c r="Q138" s="22">
        <f>_xlfn.XLOOKUP(H138, 'Anexo A'!$E$1:$E$77, 'Anexo A'!$I$1:$I$77, "", 0)</f>
        <v>42440</v>
      </c>
      <c r="R138" s="1"/>
      <c r="Y138" s="22"/>
    </row>
    <row r="139" spans="1:25" ht="54" x14ac:dyDescent="0.2">
      <c r="A139" s="4">
        <v>738</v>
      </c>
      <c r="B139" s="13" t="s">
        <v>16</v>
      </c>
      <c r="C139" s="5" t="s">
        <v>553</v>
      </c>
      <c r="D139" s="5" t="s">
        <v>554</v>
      </c>
      <c r="E139" s="5">
        <v>23</v>
      </c>
      <c r="F139" s="6" t="s">
        <v>555</v>
      </c>
      <c r="G139" s="7">
        <v>9992429052</v>
      </c>
      <c r="H139" s="7" t="s">
        <v>556</v>
      </c>
      <c r="I139" s="5" t="s">
        <v>85</v>
      </c>
      <c r="J139" s="4">
        <v>12</v>
      </c>
      <c r="K139" s="5" t="s">
        <v>222</v>
      </c>
      <c r="L139" s="4" t="s">
        <v>576</v>
      </c>
      <c r="M139" s="5" t="s">
        <v>577</v>
      </c>
      <c r="N139" s="5" t="s">
        <v>578</v>
      </c>
      <c r="O139" s="5">
        <v>0</v>
      </c>
      <c r="P139" s="5">
        <v>1</v>
      </c>
      <c r="Q139" s="22">
        <f>_xlfn.XLOOKUP(H139, 'Anexo A'!$E$1:$E$77, 'Anexo A'!$I$1:$I$77, "", 0)</f>
        <v>42440</v>
      </c>
      <c r="R139" s="1"/>
      <c r="Y139" s="22"/>
    </row>
    <row r="140" spans="1:25" ht="54" x14ac:dyDescent="0.2">
      <c r="A140" s="4">
        <v>738</v>
      </c>
      <c r="B140" s="13" t="s">
        <v>16</v>
      </c>
      <c r="C140" s="5" t="s">
        <v>553</v>
      </c>
      <c r="D140" s="5" t="s">
        <v>554</v>
      </c>
      <c r="E140" s="5">
        <v>23</v>
      </c>
      <c r="F140" s="6" t="s">
        <v>555</v>
      </c>
      <c r="G140" s="7">
        <v>9992429052</v>
      </c>
      <c r="H140" s="7" t="s">
        <v>556</v>
      </c>
      <c r="I140" s="5" t="s">
        <v>57</v>
      </c>
      <c r="J140" s="4" t="s">
        <v>373</v>
      </c>
      <c r="K140" s="5" t="s">
        <v>579</v>
      </c>
      <c r="L140" s="4" t="s">
        <v>234</v>
      </c>
      <c r="M140" s="5">
        <v>20005</v>
      </c>
      <c r="N140" s="5" t="s">
        <v>580</v>
      </c>
      <c r="O140" s="5">
        <v>0</v>
      </c>
      <c r="P140" s="5">
        <v>1</v>
      </c>
      <c r="Q140" s="22">
        <f>_xlfn.XLOOKUP(H140, 'Anexo A'!$E$1:$E$77, 'Anexo A'!$I$1:$I$77, "", 0)</f>
        <v>42440</v>
      </c>
      <c r="R140" s="1"/>
      <c r="Y140" s="22"/>
    </row>
    <row r="141" spans="1:25" ht="54" x14ac:dyDescent="0.2">
      <c r="A141" s="4">
        <v>738</v>
      </c>
      <c r="B141" s="13" t="s">
        <v>16</v>
      </c>
      <c r="C141" s="5" t="s">
        <v>581</v>
      </c>
      <c r="D141" s="5" t="s">
        <v>582</v>
      </c>
      <c r="E141" s="5">
        <v>24</v>
      </c>
      <c r="F141" s="6" t="s">
        <v>583</v>
      </c>
      <c r="G141" s="7">
        <v>9999415052</v>
      </c>
      <c r="H141" s="7" t="s">
        <v>584</v>
      </c>
      <c r="I141" s="5" t="s">
        <v>21</v>
      </c>
      <c r="J141" s="4" t="s">
        <v>45</v>
      </c>
      <c r="K141" s="5" t="s">
        <v>53</v>
      </c>
      <c r="L141" s="4">
        <v>25</v>
      </c>
      <c r="M141" s="5" t="s">
        <v>585</v>
      </c>
      <c r="N141" s="5" t="s">
        <v>586</v>
      </c>
      <c r="O141" s="5">
        <v>1</v>
      </c>
      <c r="P141" s="5">
        <v>0</v>
      </c>
      <c r="Q141" s="22">
        <f>_xlfn.XLOOKUP(H141, 'Anexo A'!$E$1:$E$77, 'Anexo A'!$I$1:$I$77, "", 0)</f>
        <v>42439</v>
      </c>
      <c r="R141" s="1"/>
      <c r="Y141" s="22"/>
    </row>
    <row r="142" spans="1:25" ht="54" x14ac:dyDescent="0.2">
      <c r="A142" s="4">
        <v>738</v>
      </c>
      <c r="B142" s="13" t="s">
        <v>16</v>
      </c>
      <c r="C142" s="5" t="s">
        <v>581</v>
      </c>
      <c r="D142" s="5" t="s">
        <v>582</v>
      </c>
      <c r="E142" s="5">
        <v>24</v>
      </c>
      <c r="F142" s="6" t="s">
        <v>583</v>
      </c>
      <c r="G142" s="7">
        <v>9999415052</v>
      </c>
      <c r="H142" s="7" t="s">
        <v>584</v>
      </c>
      <c r="I142" s="5" t="s">
        <v>57</v>
      </c>
      <c r="J142" s="4" t="s">
        <v>543</v>
      </c>
      <c r="K142" s="5" t="s">
        <v>587</v>
      </c>
      <c r="L142" s="4" t="s">
        <v>544</v>
      </c>
      <c r="M142" s="5">
        <v>753959</v>
      </c>
      <c r="N142" s="5" t="s">
        <v>588</v>
      </c>
      <c r="O142" s="5">
        <v>0</v>
      </c>
      <c r="P142" s="5">
        <v>1</v>
      </c>
      <c r="Q142" s="22">
        <f>_xlfn.XLOOKUP(H142, 'Anexo A'!$E$1:$E$77, 'Anexo A'!$I$1:$I$77, "", 0)</f>
        <v>42439</v>
      </c>
      <c r="R142" s="1"/>
      <c r="Y142" s="22"/>
    </row>
    <row r="143" spans="1:25" ht="54" x14ac:dyDescent="0.2">
      <c r="A143" s="4">
        <v>738</v>
      </c>
      <c r="B143" s="13" t="s">
        <v>16</v>
      </c>
      <c r="C143" s="5" t="s">
        <v>581</v>
      </c>
      <c r="D143" s="5" t="s">
        <v>582</v>
      </c>
      <c r="E143" s="5">
        <v>24</v>
      </c>
      <c r="F143" s="6" t="s">
        <v>583</v>
      </c>
      <c r="G143" s="7">
        <v>9999415052</v>
      </c>
      <c r="H143" s="7" t="s">
        <v>584</v>
      </c>
      <c r="I143" s="5" t="s">
        <v>85</v>
      </c>
      <c r="J143" s="4" t="s">
        <v>164</v>
      </c>
      <c r="K143" s="5" t="s">
        <v>589</v>
      </c>
      <c r="L143" s="4" t="s">
        <v>97</v>
      </c>
      <c r="M143" s="5" t="s">
        <v>590</v>
      </c>
      <c r="N143" s="5" t="s">
        <v>591</v>
      </c>
      <c r="O143" s="5">
        <v>0</v>
      </c>
      <c r="P143" s="5">
        <v>1</v>
      </c>
      <c r="Q143" s="22">
        <f>_xlfn.XLOOKUP(H143, 'Anexo A'!$E$1:$E$77, 'Anexo A'!$I$1:$I$77, "", 0)</f>
        <v>42439</v>
      </c>
      <c r="R143" s="1"/>
      <c r="Y143" s="22"/>
    </row>
    <row r="144" spans="1:25" ht="54" x14ac:dyDescent="0.2">
      <c r="A144" s="4">
        <v>738</v>
      </c>
      <c r="B144" s="13" t="s">
        <v>16</v>
      </c>
      <c r="C144" s="5" t="s">
        <v>581</v>
      </c>
      <c r="D144" s="5" t="s">
        <v>582</v>
      </c>
      <c r="E144" s="5">
        <v>24</v>
      </c>
      <c r="F144" s="6" t="s">
        <v>583</v>
      </c>
      <c r="G144" s="7">
        <v>9999415052</v>
      </c>
      <c r="H144" s="7" t="s">
        <v>584</v>
      </c>
      <c r="I144" s="5" t="s">
        <v>85</v>
      </c>
      <c r="J144" s="4" t="s">
        <v>164</v>
      </c>
      <c r="K144" s="5" t="s">
        <v>222</v>
      </c>
      <c r="L144" s="4" t="s">
        <v>592</v>
      </c>
      <c r="M144" s="5" t="s">
        <v>593</v>
      </c>
      <c r="N144" s="5" t="s">
        <v>594</v>
      </c>
      <c r="O144" s="5">
        <v>0</v>
      </c>
      <c r="P144" s="5">
        <v>1</v>
      </c>
      <c r="Q144" s="22">
        <f>_xlfn.XLOOKUP(H144, 'Anexo A'!$E$1:$E$77, 'Anexo A'!$I$1:$I$77, "", 0)</f>
        <v>42439</v>
      </c>
      <c r="R144" s="1"/>
      <c r="Y144" s="22"/>
    </row>
    <row r="145" spans="1:25" ht="54" x14ac:dyDescent="0.2">
      <c r="A145" s="4">
        <v>738</v>
      </c>
      <c r="B145" s="13" t="s">
        <v>16</v>
      </c>
      <c r="C145" s="5" t="s">
        <v>581</v>
      </c>
      <c r="D145" s="5" t="s">
        <v>582</v>
      </c>
      <c r="E145" s="5">
        <v>24</v>
      </c>
      <c r="F145" s="6" t="s">
        <v>583</v>
      </c>
      <c r="G145" s="7">
        <v>9999415052</v>
      </c>
      <c r="H145" s="7" t="s">
        <v>584</v>
      </c>
      <c r="I145" s="5" t="s">
        <v>85</v>
      </c>
      <c r="J145" s="4" t="s">
        <v>119</v>
      </c>
      <c r="K145" s="5" t="s">
        <v>110</v>
      </c>
      <c r="L145" s="4" t="s">
        <v>595</v>
      </c>
      <c r="M145" s="5" t="s">
        <v>596</v>
      </c>
      <c r="N145" s="5" t="s">
        <v>597</v>
      </c>
      <c r="O145" s="5">
        <v>0</v>
      </c>
      <c r="P145" s="5">
        <v>1</v>
      </c>
      <c r="Q145" s="22">
        <f>_xlfn.XLOOKUP(H145, 'Anexo A'!$E$1:$E$77, 'Anexo A'!$I$1:$I$77, "", 0)</f>
        <v>42439</v>
      </c>
      <c r="R145" s="1"/>
      <c r="Y145" s="22"/>
    </row>
    <row r="146" spans="1:25" ht="54" x14ac:dyDescent="0.2">
      <c r="A146" s="4">
        <v>738</v>
      </c>
      <c r="B146" s="13" t="s">
        <v>16</v>
      </c>
      <c r="C146" s="5" t="s">
        <v>581</v>
      </c>
      <c r="D146" s="5" t="s">
        <v>582</v>
      </c>
      <c r="E146" s="5">
        <v>24</v>
      </c>
      <c r="F146" s="6" t="s">
        <v>583</v>
      </c>
      <c r="G146" s="7">
        <v>9999415052</v>
      </c>
      <c r="H146" s="7" t="s">
        <v>584</v>
      </c>
      <c r="I146" s="5" t="s">
        <v>57</v>
      </c>
      <c r="J146" s="4" t="s">
        <v>253</v>
      </c>
      <c r="K146" s="5" t="s">
        <v>158</v>
      </c>
      <c r="L146" s="4" t="s">
        <v>254</v>
      </c>
      <c r="M146" s="5" t="s">
        <v>598</v>
      </c>
      <c r="N146" s="5" t="s">
        <v>599</v>
      </c>
      <c r="O146" s="5">
        <v>0</v>
      </c>
      <c r="P146" s="5">
        <v>1</v>
      </c>
      <c r="Q146" s="22">
        <f>_xlfn.XLOOKUP(H146, 'Anexo A'!$E$1:$E$77, 'Anexo A'!$I$1:$I$77, "", 0)</f>
        <v>42439</v>
      </c>
      <c r="R146" s="1"/>
      <c r="Y146" s="22"/>
    </row>
    <row r="147" spans="1:25" ht="54" x14ac:dyDescent="0.2">
      <c r="A147" s="4">
        <v>738</v>
      </c>
      <c r="B147" s="13" t="s">
        <v>16</v>
      </c>
      <c r="C147" s="5" t="s">
        <v>600</v>
      </c>
      <c r="D147" s="5" t="s">
        <v>601</v>
      </c>
      <c r="E147" s="5">
        <v>25</v>
      </c>
      <c r="F147" s="6" t="s">
        <v>602</v>
      </c>
      <c r="G147" s="7">
        <v>9999494819</v>
      </c>
      <c r="H147" s="7" t="s">
        <v>603</v>
      </c>
      <c r="I147" s="5" t="s">
        <v>85</v>
      </c>
      <c r="J147" s="4">
        <v>12</v>
      </c>
      <c r="K147" s="5" t="s">
        <v>154</v>
      </c>
      <c r="L147" s="4">
        <v>870</v>
      </c>
      <c r="M147" s="5" t="s">
        <v>604</v>
      </c>
      <c r="N147" s="5" t="s">
        <v>605</v>
      </c>
      <c r="O147" s="5">
        <v>0</v>
      </c>
      <c r="P147" s="5">
        <v>1</v>
      </c>
      <c r="Q147" s="22">
        <f>_xlfn.XLOOKUP(H147, 'Anexo A'!$E$1:$E$77, 'Anexo A'!$I$1:$I$77, "", 0)</f>
        <v>42468</v>
      </c>
      <c r="R147" s="1"/>
      <c r="Y147" s="22"/>
    </row>
    <row r="148" spans="1:25" ht="54" x14ac:dyDescent="0.2">
      <c r="A148" s="4">
        <v>738</v>
      </c>
      <c r="B148" s="13" t="s">
        <v>16</v>
      </c>
      <c r="C148" s="5" t="s">
        <v>606</v>
      </c>
      <c r="D148" s="5" t="s">
        <v>607</v>
      </c>
      <c r="E148" s="5">
        <v>26</v>
      </c>
      <c r="F148" s="6" t="s">
        <v>608</v>
      </c>
      <c r="G148" s="7">
        <v>9992389961</v>
      </c>
      <c r="H148" s="7" t="s">
        <v>609</v>
      </c>
      <c r="I148" s="5" t="s">
        <v>21</v>
      </c>
      <c r="J148" s="4" t="s">
        <v>45</v>
      </c>
      <c r="K148" s="5" t="s">
        <v>281</v>
      </c>
      <c r="L148" s="4" t="s">
        <v>610</v>
      </c>
      <c r="M148" s="5" t="s">
        <v>611</v>
      </c>
      <c r="N148" s="5" t="s">
        <v>612</v>
      </c>
      <c r="O148" s="5">
        <v>1</v>
      </c>
      <c r="P148" s="5">
        <v>0</v>
      </c>
      <c r="Q148" s="22">
        <f>_xlfn.XLOOKUP(H148, 'Anexo A'!$E$1:$E$77, 'Anexo A'!$I$1:$I$77, "", 0)</f>
        <v>42500</v>
      </c>
      <c r="R148" s="1"/>
      <c r="Y148" s="22"/>
    </row>
    <row r="149" spans="1:25" ht="54" x14ac:dyDescent="0.2">
      <c r="A149" s="4">
        <v>738</v>
      </c>
      <c r="B149" s="13" t="s">
        <v>16</v>
      </c>
      <c r="C149" s="5" t="s">
        <v>613</v>
      </c>
      <c r="D149" s="5" t="s">
        <v>614</v>
      </c>
      <c r="E149" s="5">
        <v>27</v>
      </c>
      <c r="F149" s="6" t="s">
        <v>615</v>
      </c>
      <c r="G149" s="7">
        <v>9991335899</v>
      </c>
      <c r="H149" s="7" t="s">
        <v>616</v>
      </c>
      <c r="I149" s="5" t="s">
        <v>21</v>
      </c>
      <c r="J149" s="4" t="s">
        <v>617</v>
      </c>
      <c r="K149" s="5" t="s">
        <v>281</v>
      </c>
      <c r="L149" s="4" t="s">
        <v>618</v>
      </c>
      <c r="M149" s="5" t="s">
        <v>619</v>
      </c>
      <c r="N149" s="5" t="s">
        <v>620</v>
      </c>
      <c r="O149" s="5">
        <v>1</v>
      </c>
      <c r="P149" s="5">
        <v>0</v>
      </c>
      <c r="Q149" s="22">
        <f>_xlfn.XLOOKUP(H149, 'Anexo A'!$E$1:$E$77, 'Anexo A'!$I$1:$I$77, "", 0)</f>
        <v>42774</v>
      </c>
      <c r="R149" s="1"/>
      <c r="Y149" s="22"/>
    </row>
    <row r="150" spans="1:25" ht="54" x14ac:dyDescent="0.2">
      <c r="A150" s="4">
        <v>738</v>
      </c>
      <c r="B150" s="13" t="s">
        <v>16</v>
      </c>
      <c r="C150" s="5" t="s">
        <v>621</v>
      </c>
      <c r="D150" s="5" t="s">
        <v>622</v>
      </c>
      <c r="E150" s="5">
        <v>28</v>
      </c>
      <c r="F150" s="6" t="s">
        <v>623</v>
      </c>
      <c r="G150" s="7">
        <v>9991335899</v>
      </c>
      <c r="H150" s="7" t="s">
        <v>616</v>
      </c>
      <c r="I150" s="5" t="s">
        <v>21</v>
      </c>
      <c r="J150" s="4" t="s">
        <v>226</v>
      </c>
      <c r="K150" s="5" t="s">
        <v>53</v>
      </c>
      <c r="L150" s="4">
        <v>25</v>
      </c>
      <c r="M150" s="5" t="s">
        <v>624</v>
      </c>
      <c r="N150" s="5" t="s">
        <v>625</v>
      </c>
      <c r="O150" s="5">
        <v>1</v>
      </c>
      <c r="P150" s="5">
        <v>0</v>
      </c>
      <c r="Q150" s="22">
        <f>_xlfn.XLOOKUP(H150, 'Anexo A'!$E$1:$E$77, 'Anexo A'!$I$1:$I$77, "", 0)</f>
        <v>42774</v>
      </c>
      <c r="R150" s="1"/>
      <c r="Y150" s="22"/>
    </row>
    <row r="151" spans="1:25" ht="54" x14ac:dyDescent="0.2">
      <c r="A151" s="4">
        <v>738</v>
      </c>
      <c r="B151" s="13" t="s">
        <v>16</v>
      </c>
      <c r="C151" s="5" t="s">
        <v>621</v>
      </c>
      <c r="D151" s="5" t="s">
        <v>622</v>
      </c>
      <c r="E151" s="5">
        <v>28</v>
      </c>
      <c r="F151" s="6" t="s">
        <v>623</v>
      </c>
      <c r="G151" s="7">
        <v>9991335899</v>
      </c>
      <c r="H151" s="7" t="s">
        <v>616</v>
      </c>
      <c r="I151" s="5" t="s">
        <v>85</v>
      </c>
      <c r="J151" s="4" t="s">
        <v>626</v>
      </c>
      <c r="K151" s="5" t="s">
        <v>181</v>
      </c>
      <c r="L151" s="4" t="s">
        <v>627</v>
      </c>
      <c r="M151" s="5" t="s">
        <v>628</v>
      </c>
      <c r="N151" s="5" t="s">
        <v>629</v>
      </c>
      <c r="O151" s="5">
        <v>0</v>
      </c>
      <c r="P151" s="5">
        <v>1</v>
      </c>
      <c r="Q151" s="22">
        <f>_xlfn.XLOOKUP(H151, 'Anexo A'!$E$1:$E$77, 'Anexo A'!$I$1:$I$77, "", 0)</f>
        <v>42774</v>
      </c>
      <c r="R151" s="1"/>
      <c r="Y151" s="22"/>
    </row>
    <row r="152" spans="1:25" ht="54" x14ac:dyDescent="0.2">
      <c r="A152" s="4">
        <v>738</v>
      </c>
      <c r="B152" s="13" t="s">
        <v>16</v>
      </c>
      <c r="C152" s="5" t="s">
        <v>621</v>
      </c>
      <c r="D152" s="5" t="s">
        <v>622</v>
      </c>
      <c r="E152" s="5">
        <v>28</v>
      </c>
      <c r="F152" s="6" t="s">
        <v>623</v>
      </c>
      <c r="G152" s="7">
        <v>9991335899</v>
      </c>
      <c r="H152" s="7" t="s">
        <v>616</v>
      </c>
      <c r="I152" s="5" t="s">
        <v>57</v>
      </c>
      <c r="J152" s="4" t="s">
        <v>341</v>
      </c>
      <c r="K152" s="5" t="s">
        <v>93</v>
      </c>
      <c r="L152" s="4" t="s">
        <v>630</v>
      </c>
      <c r="M152" s="5" t="s">
        <v>631</v>
      </c>
      <c r="N152" s="5" t="s">
        <v>632</v>
      </c>
      <c r="O152" s="5">
        <v>0</v>
      </c>
      <c r="P152" s="5">
        <v>1</v>
      </c>
      <c r="Q152" s="22">
        <f>_xlfn.XLOOKUP(H152, 'Anexo A'!$E$1:$E$77, 'Anexo A'!$I$1:$I$77, "", 0)</f>
        <v>42774</v>
      </c>
      <c r="R152" s="1"/>
      <c r="Y152" s="22"/>
    </row>
    <row r="153" spans="1:25" ht="54" x14ac:dyDescent="0.2">
      <c r="A153" s="4">
        <v>738</v>
      </c>
      <c r="B153" s="13" t="s">
        <v>16</v>
      </c>
      <c r="C153" s="5" t="s">
        <v>621</v>
      </c>
      <c r="D153" s="5" t="s">
        <v>622</v>
      </c>
      <c r="E153" s="5">
        <v>28</v>
      </c>
      <c r="F153" s="6" t="s">
        <v>623</v>
      </c>
      <c r="G153" s="7">
        <v>9991335899</v>
      </c>
      <c r="H153" s="7" t="s">
        <v>616</v>
      </c>
      <c r="I153" s="5" t="s">
        <v>85</v>
      </c>
      <c r="J153" s="4" t="s">
        <v>164</v>
      </c>
      <c r="K153" s="5" t="s">
        <v>154</v>
      </c>
      <c r="L153" s="4">
        <v>1100</v>
      </c>
      <c r="M153" s="5" t="s">
        <v>633</v>
      </c>
      <c r="N153" s="5" t="s">
        <v>634</v>
      </c>
      <c r="O153" s="5">
        <v>0</v>
      </c>
      <c r="P153" s="5">
        <v>1</v>
      </c>
      <c r="Q153" s="22">
        <f>_xlfn.XLOOKUP(H153, 'Anexo A'!$E$1:$E$77, 'Anexo A'!$I$1:$I$77, "", 0)</f>
        <v>42774</v>
      </c>
      <c r="R153" s="1"/>
      <c r="Y153" s="22"/>
    </row>
    <row r="154" spans="1:25" ht="54" x14ac:dyDescent="0.2">
      <c r="A154" s="4">
        <v>738</v>
      </c>
      <c r="B154" s="13" t="s">
        <v>16</v>
      </c>
      <c r="C154" s="5" t="s">
        <v>635</v>
      </c>
      <c r="D154" s="5" t="s">
        <v>636</v>
      </c>
      <c r="E154" s="5">
        <v>29</v>
      </c>
      <c r="F154" s="6" t="s">
        <v>637</v>
      </c>
      <c r="G154" s="7">
        <v>9999477501</v>
      </c>
      <c r="H154" s="7" t="s">
        <v>638</v>
      </c>
      <c r="I154" s="5" t="s">
        <v>21</v>
      </c>
      <c r="J154" s="4" t="s">
        <v>45</v>
      </c>
      <c r="K154" s="5" t="s">
        <v>639</v>
      </c>
      <c r="L154" s="4" t="s">
        <v>640</v>
      </c>
      <c r="M154" s="5" t="s">
        <v>641</v>
      </c>
      <c r="N154" s="5" t="s">
        <v>642</v>
      </c>
      <c r="O154" s="5">
        <v>1</v>
      </c>
      <c r="P154" s="5">
        <v>0</v>
      </c>
      <c r="Q154" s="22">
        <f>_xlfn.XLOOKUP(H154, 'Anexo A'!$E$1:$E$77, 'Anexo A'!$I$1:$I$77, "", 0)</f>
        <v>43123</v>
      </c>
      <c r="R154" s="1"/>
      <c r="Y154" s="22"/>
    </row>
    <row r="155" spans="1:25" ht="54" x14ac:dyDescent="0.2">
      <c r="A155" s="4">
        <v>738</v>
      </c>
      <c r="B155" s="13" t="s">
        <v>16</v>
      </c>
      <c r="C155" s="5" t="s">
        <v>635</v>
      </c>
      <c r="D155" s="5" t="s">
        <v>636</v>
      </c>
      <c r="E155" s="5">
        <v>29</v>
      </c>
      <c r="F155" s="6" t="s">
        <v>637</v>
      </c>
      <c r="G155" s="7">
        <v>9999477501</v>
      </c>
      <c r="H155" s="7" t="s">
        <v>638</v>
      </c>
      <c r="I155" s="5" t="s">
        <v>57</v>
      </c>
      <c r="J155" s="4" t="s">
        <v>643</v>
      </c>
      <c r="K155" s="4" t="s">
        <v>158</v>
      </c>
      <c r="L155" s="4" t="s">
        <v>254</v>
      </c>
      <c r="M155" s="4" t="s">
        <v>644</v>
      </c>
      <c r="N155" s="5" t="s">
        <v>645</v>
      </c>
      <c r="O155" s="5">
        <v>0</v>
      </c>
      <c r="P155" s="5">
        <v>1</v>
      </c>
      <c r="Q155" s="22">
        <f>_xlfn.XLOOKUP(H155, 'Anexo A'!$E$1:$E$77, 'Anexo A'!$I$1:$I$77, "", 0)</f>
        <v>43123</v>
      </c>
      <c r="R155" s="1"/>
      <c r="Y155" s="22"/>
    </row>
    <row r="156" spans="1:25" ht="54" x14ac:dyDescent="0.2">
      <c r="A156" s="4">
        <v>738</v>
      </c>
      <c r="B156" s="13" t="s">
        <v>16</v>
      </c>
      <c r="C156" s="5" t="s">
        <v>635</v>
      </c>
      <c r="D156" s="5" t="s">
        <v>636</v>
      </c>
      <c r="E156" s="5">
        <v>29</v>
      </c>
      <c r="F156" s="6" t="s">
        <v>637</v>
      </c>
      <c r="G156" s="7">
        <v>9999477501</v>
      </c>
      <c r="H156" s="7" t="s">
        <v>638</v>
      </c>
      <c r="I156" s="5" t="s">
        <v>21</v>
      </c>
      <c r="J156" s="4" t="s">
        <v>356</v>
      </c>
      <c r="K156" s="4" t="s">
        <v>53</v>
      </c>
      <c r="L156" s="4">
        <v>42</v>
      </c>
      <c r="M156" s="4" t="s">
        <v>646</v>
      </c>
      <c r="N156" s="5" t="s">
        <v>647</v>
      </c>
      <c r="O156" s="5">
        <v>1</v>
      </c>
      <c r="P156" s="5">
        <v>0</v>
      </c>
      <c r="Q156" s="22">
        <f>_xlfn.XLOOKUP(H156, 'Anexo A'!$E$1:$E$77, 'Anexo A'!$I$1:$I$77, "", 0)</f>
        <v>43123</v>
      </c>
      <c r="R156" s="1"/>
      <c r="Y156" s="22"/>
    </row>
    <row r="157" spans="1:25" ht="54" x14ac:dyDescent="0.2">
      <c r="A157" s="4">
        <v>738</v>
      </c>
      <c r="B157" s="13" t="s">
        <v>16</v>
      </c>
      <c r="C157" s="5" t="s">
        <v>635</v>
      </c>
      <c r="D157" s="5" t="s">
        <v>636</v>
      </c>
      <c r="E157" s="5">
        <v>29</v>
      </c>
      <c r="F157" s="6" t="s">
        <v>637</v>
      </c>
      <c r="G157" s="7">
        <v>9999477501</v>
      </c>
      <c r="H157" s="7" t="s">
        <v>638</v>
      </c>
      <c r="I157" s="5" t="s">
        <v>57</v>
      </c>
      <c r="J157" s="9" t="s">
        <v>58</v>
      </c>
      <c r="K157" s="9" t="s">
        <v>233</v>
      </c>
      <c r="L157" s="9" t="s">
        <v>234</v>
      </c>
      <c r="M157" s="9" t="s">
        <v>648</v>
      </c>
      <c r="N157" s="9" t="s">
        <v>649</v>
      </c>
      <c r="O157" s="5">
        <v>0</v>
      </c>
      <c r="P157" s="5">
        <v>1</v>
      </c>
      <c r="Q157" s="22">
        <f>_xlfn.XLOOKUP(H157, 'Anexo A'!$E$1:$E$77, 'Anexo A'!$I$1:$I$77, "", 0)</f>
        <v>43123</v>
      </c>
      <c r="R157" s="1"/>
      <c r="Y157" s="22"/>
    </row>
    <row r="158" spans="1:25" ht="54" x14ac:dyDescent="0.2">
      <c r="A158" s="4">
        <v>738</v>
      </c>
      <c r="B158" s="13" t="s">
        <v>16</v>
      </c>
      <c r="C158" s="5" t="s">
        <v>650</v>
      </c>
      <c r="D158" s="5" t="s">
        <v>651</v>
      </c>
      <c r="E158" s="5">
        <v>30</v>
      </c>
      <c r="F158" s="6" t="s">
        <v>637</v>
      </c>
      <c r="G158" s="7">
        <v>9999479199</v>
      </c>
      <c r="H158" s="7" t="s">
        <v>652</v>
      </c>
      <c r="I158" s="5" t="s">
        <v>21</v>
      </c>
      <c r="J158" s="4" t="s">
        <v>45</v>
      </c>
      <c r="K158" s="5" t="s">
        <v>639</v>
      </c>
      <c r="L158" s="4" t="s">
        <v>640</v>
      </c>
      <c r="M158" s="5" t="s">
        <v>653</v>
      </c>
      <c r="N158" s="5" t="s">
        <v>654</v>
      </c>
      <c r="O158" s="5">
        <v>1</v>
      </c>
      <c r="P158" s="5">
        <v>0</v>
      </c>
      <c r="Q158" s="22">
        <f>_xlfn.XLOOKUP(H158, 'Anexo A'!$E$1:$E$77, 'Anexo A'!$I$1:$I$77, "", 0)</f>
        <v>43123</v>
      </c>
      <c r="R158" s="1"/>
      <c r="Y158" s="22"/>
    </row>
    <row r="159" spans="1:25" ht="54" x14ac:dyDescent="0.2">
      <c r="A159" s="4">
        <v>738</v>
      </c>
      <c r="B159" s="13" t="s">
        <v>16</v>
      </c>
      <c r="C159" s="5" t="s">
        <v>655</v>
      </c>
      <c r="D159" s="5" t="s">
        <v>656</v>
      </c>
      <c r="E159" s="5">
        <v>31</v>
      </c>
      <c r="F159" s="5" t="s">
        <v>657</v>
      </c>
      <c r="G159" s="7">
        <v>9992243874</v>
      </c>
      <c r="H159" s="7" t="s">
        <v>658</v>
      </c>
      <c r="I159" s="5" t="s">
        <v>85</v>
      </c>
      <c r="J159" s="5" t="s">
        <v>659</v>
      </c>
      <c r="K159" s="8" t="s">
        <v>92</v>
      </c>
      <c r="L159" s="16" t="s">
        <v>109</v>
      </c>
      <c r="M159" s="4">
        <v>458878</v>
      </c>
      <c r="N159" s="9" t="s">
        <v>660</v>
      </c>
      <c r="O159" s="5">
        <v>0</v>
      </c>
      <c r="P159" s="5">
        <v>1</v>
      </c>
      <c r="Q159" s="22">
        <f>_xlfn.XLOOKUP(H159, 'Anexo A'!$E$1:$E$77, 'Anexo A'!$I$1:$I$77, "", 0)</f>
        <v>43859</v>
      </c>
      <c r="R159" s="1"/>
      <c r="Y159" s="22"/>
    </row>
    <row r="160" spans="1:25" ht="54" x14ac:dyDescent="0.2">
      <c r="A160" s="4">
        <v>738</v>
      </c>
      <c r="B160" s="13" t="s">
        <v>16</v>
      </c>
      <c r="C160" s="5" t="s">
        <v>661</v>
      </c>
      <c r="D160" s="5" t="s">
        <v>662</v>
      </c>
      <c r="E160" s="5">
        <v>32</v>
      </c>
      <c r="F160" s="6" t="s">
        <v>657</v>
      </c>
      <c r="G160" s="7">
        <v>9992978103</v>
      </c>
      <c r="H160" s="7" t="s">
        <v>663</v>
      </c>
      <c r="I160" s="5" t="s">
        <v>21</v>
      </c>
      <c r="J160" s="5" t="s">
        <v>218</v>
      </c>
      <c r="K160" s="8" t="s">
        <v>281</v>
      </c>
      <c r="L160" s="16" t="s">
        <v>664</v>
      </c>
      <c r="M160" s="4">
        <v>127112</v>
      </c>
      <c r="N160" s="5" t="s">
        <v>665</v>
      </c>
      <c r="O160" s="5">
        <v>1</v>
      </c>
      <c r="P160" s="5">
        <v>0</v>
      </c>
      <c r="Q160" s="22">
        <f>_xlfn.XLOOKUP(H160, 'Anexo A'!$E$1:$E$77, 'Anexo A'!$I$1:$I$77, "", 0)</f>
        <v>43860</v>
      </c>
      <c r="R160" s="1"/>
      <c r="Y160" s="22"/>
    </row>
    <row r="161" spans="1:25" ht="54" x14ac:dyDescent="0.2">
      <c r="A161" s="4">
        <v>738</v>
      </c>
      <c r="B161" s="13" t="s">
        <v>16</v>
      </c>
      <c r="C161" s="5" t="s">
        <v>666</v>
      </c>
      <c r="D161" s="5" t="s">
        <v>667</v>
      </c>
      <c r="E161" s="5">
        <v>33</v>
      </c>
      <c r="F161" s="6" t="s">
        <v>668</v>
      </c>
      <c r="G161" s="7">
        <v>9999477957</v>
      </c>
      <c r="H161" s="7" t="s">
        <v>669</v>
      </c>
      <c r="I161" s="5" t="s">
        <v>21</v>
      </c>
      <c r="J161" s="5" t="s">
        <v>280</v>
      </c>
      <c r="K161" s="8" t="s">
        <v>53</v>
      </c>
      <c r="L161" s="16" t="s">
        <v>54</v>
      </c>
      <c r="M161" s="4" t="s">
        <v>670</v>
      </c>
      <c r="N161" s="5" t="s">
        <v>671</v>
      </c>
      <c r="O161" s="5">
        <v>1</v>
      </c>
      <c r="P161" s="5">
        <v>0</v>
      </c>
      <c r="Q161" s="22">
        <f>_xlfn.XLOOKUP(H161, 'Anexo A'!$E$1:$E$77, 'Anexo A'!$I$1:$I$77, "", 0)</f>
        <v>43875</v>
      </c>
      <c r="R161" s="1"/>
      <c r="Y161" s="22"/>
    </row>
    <row r="162" spans="1:25" ht="72" x14ac:dyDescent="0.2">
      <c r="A162" s="4">
        <v>738</v>
      </c>
      <c r="B162" s="13" t="s">
        <v>16</v>
      </c>
      <c r="C162" s="5" t="s">
        <v>672</v>
      </c>
      <c r="D162" s="5" t="s">
        <v>673</v>
      </c>
      <c r="E162" s="5">
        <v>34</v>
      </c>
      <c r="F162" s="6" t="s">
        <v>674</v>
      </c>
      <c r="G162" s="7">
        <v>9991229424</v>
      </c>
      <c r="H162" s="7" t="s">
        <v>675</v>
      </c>
      <c r="I162" s="5" t="s">
        <v>85</v>
      </c>
      <c r="J162" s="5" t="s">
        <v>626</v>
      </c>
      <c r="K162" s="8" t="s">
        <v>382</v>
      </c>
      <c r="L162" s="16" t="s">
        <v>383</v>
      </c>
      <c r="M162" s="4" t="s">
        <v>676</v>
      </c>
      <c r="N162" s="5" t="s">
        <v>677</v>
      </c>
      <c r="O162" s="5">
        <v>0</v>
      </c>
      <c r="P162" s="5">
        <v>1</v>
      </c>
      <c r="Q162" s="22">
        <f>_xlfn.XLOOKUP(H162, 'Anexo A'!$E$1:$E$77, 'Anexo A'!$I$1:$I$77, "", 0)</f>
        <v>43875</v>
      </c>
      <c r="R162" s="1"/>
      <c r="Y162" s="22"/>
    </row>
    <row r="163" spans="1:25" ht="72" x14ac:dyDescent="0.2">
      <c r="A163" s="4">
        <v>738</v>
      </c>
      <c r="B163" s="13" t="s">
        <v>16</v>
      </c>
      <c r="C163" s="5" t="s">
        <v>672</v>
      </c>
      <c r="D163" s="5" t="s">
        <v>673</v>
      </c>
      <c r="E163" s="5">
        <v>34</v>
      </c>
      <c r="F163" s="6" t="s">
        <v>674</v>
      </c>
      <c r="G163" s="7">
        <v>9991229424</v>
      </c>
      <c r="H163" s="7" t="s">
        <v>675</v>
      </c>
      <c r="I163" s="5" t="s">
        <v>21</v>
      </c>
      <c r="J163" s="5" t="s">
        <v>563</v>
      </c>
      <c r="K163" s="8" t="s">
        <v>678</v>
      </c>
      <c r="L163" s="16" t="s">
        <v>679</v>
      </c>
      <c r="M163" s="4" t="s">
        <v>680</v>
      </c>
      <c r="N163" s="5" t="s">
        <v>681</v>
      </c>
      <c r="O163" s="5">
        <v>1</v>
      </c>
      <c r="P163" s="5">
        <v>0</v>
      </c>
      <c r="Q163" s="22">
        <f>_xlfn.XLOOKUP(H163, 'Anexo A'!$E$1:$E$77, 'Anexo A'!$I$1:$I$77, "", 0)</f>
        <v>43875</v>
      </c>
      <c r="R163" s="1"/>
      <c r="Y163" s="22"/>
    </row>
    <row r="164" spans="1:25" ht="72" x14ac:dyDescent="0.2">
      <c r="A164" s="4">
        <v>738</v>
      </c>
      <c r="B164" s="13" t="s">
        <v>16</v>
      </c>
      <c r="C164" s="5" t="s">
        <v>672</v>
      </c>
      <c r="D164" s="5" t="s">
        <v>673</v>
      </c>
      <c r="E164" s="5">
        <v>34</v>
      </c>
      <c r="F164" s="6" t="s">
        <v>674</v>
      </c>
      <c r="G164" s="7">
        <v>9991229424</v>
      </c>
      <c r="H164" s="7" t="s">
        <v>675</v>
      </c>
      <c r="I164" s="5" t="s">
        <v>21</v>
      </c>
      <c r="J164" s="5" t="s">
        <v>218</v>
      </c>
      <c r="K164" s="8" t="s">
        <v>53</v>
      </c>
      <c r="L164" s="16" t="s">
        <v>682</v>
      </c>
      <c r="M164" s="4" t="s">
        <v>683</v>
      </c>
      <c r="N164" s="5" t="s">
        <v>684</v>
      </c>
      <c r="O164" s="5">
        <v>1</v>
      </c>
      <c r="P164" s="5">
        <v>0</v>
      </c>
      <c r="Q164" s="22">
        <f>_xlfn.XLOOKUP(H164, 'Anexo A'!$E$1:$E$77, 'Anexo A'!$I$1:$I$77, "", 0)</f>
        <v>43875</v>
      </c>
      <c r="R164" s="1"/>
      <c r="Y164" s="22"/>
    </row>
    <row r="165" spans="1:25" ht="72" x14ac:dyDescent="0.2">
      <c r="A165" s="4">
        <v>738</v>
      </c>
      <c r="B165" s="13" t="s">
        <v>16</v>
      </c>
      <c r="C165" s="5" t="s">
        <v>672</v>
      </c>
      <c r="D165" s="5" t="s">
        <v>673</v>
      </c>
      <c r="E165" s="5">
        <v>34</v>
      </c>
      <c r="F165" s="6" t="s">
        <v>674</v>
      </c>
      <c r="G165" s="7">
        <v>9991229424</v>
      </c>
      <c r="H165" s="7" t="s">
        <v>675</v>
      </c>
      <c r="I165" s="5" t="s">
        <v>21</v>
      </c>
      <c r="J165" s="5" t="s">
        <v>45</v>
      </c>
      <c r="K165" s="8" t="s">
        <v>53</v>
      </c>
      <c r="L165" s="16" t="s">
        <v>54</v>
      </c>
      <c r="M165" s="4" t="s">
        <v>685</v>
      </c>
      <c r="N165" s="5" t="s">
        <v>686</v>
      </c>
      <c r="O165" s="5">
        <v>1</v>
      </c>
      <c r="P165" s="5">
        <v>0</v>
      </c>
      <c r="Q165" s="22">
        <f>_xlfn.XLOOKUP(H165, 'Anexo A'!$E$1:$E$77, 'Anexo A'!$I$1:$I$77, "", 0)</f>
        <v>43875</v>
      </c>
      <c r="R165" s="1"/>
      <c r="Y165" s="22"/>
    </row>
    <row r="166" spans="1:25" ht="72" x14ac:dyDescent="0.2">
      <c r="A166" s="4">
        <v>738</v>
      </c>
      <c r="B166" s="13" t="s">
        <v>16</v>
      </c>
      <c r="C166" s="5" t="s">
        <v>672</v>
      </c>
      <c r="D166" s="5" t="s">
        <v>673</v>
      </c>
      <c r="E166" s="5">
        <v>34</v>
      </c>
      <c r="F166" s="6" t="s">
        <v>674</v>
      </c>
      <c r="G166" s="7">
        <v>9991229424</v>
      </c>
      <c r="H166" s="7" t="s">
        <v>675</v>
      </c>
      <c r="I166" s="5" t="s">
        <v>21</v>
      </c>
      <c r="J166" s="5" t="s">
        <v>356</v>
      </c>
      <c r="K166" s="8" t="s">
        <v>53</v>
      </c>
      <c r="L166" s="16" t="s">
        <v>54</v>
      </c>
      <c r="M166" s="4" t="s">
        <v>687</v>
      </c>
      <c r="N166" s="5" t="s">
        <v>688</v>
      </c>
      <c r="O166" s="5">
        <v>1</v>
      </c>
      <c r="P166" s="5">
        <v>0</v>
      </c>
      <c r="Q166" s="22">
        <f>_xlfn.XLOOKUP(H166, 'Anexo A'!$E$1:$E$77, 'Anexo A'!$I$1:$I$77, "", 0)</f>
        <v>43875</v>
      </c>
      <c r="R166" s="1"/>
      <c r="Y166" s="22"/>
    </row>
    <row r="167" spans="1:25" ht="72" x14ac:dyDescent="0.2">
      <c r="A167" s="4">
        <v>738</v>
      </c>
      <c r="B167" s="13" t="s">
        <v>16</v>
      </c>
      <c r="C167" s="5" t="s">
        <v>672</v>
      </c>
      <c r="D167" s="5" t="s">
        <v>673</v>
      </c>
      <c r="E167" s="5">
        <v>34</v>
      </c>
      <c r="F167" s="6" t="s">
        <v>674</v>
      </c>
      <c r="G167" s="7">
        <v>9991229424</v>
      </c>
      <c r="H167" s="7" t="s">
        <v>675</v>
      </c>
      <c r="I167" s="5" t="s">
        <v>21</v>
      </c>
      <c r="J167" s="5" t="s">
        <v>218</v>
      </c>
      <c r="K167" s="8" t="s">
        <v>53</v>
      </c>
      <c r="L167" s="16" t="s">
        <v>54</v>
      </c>
      <c r="M167" s="4" t="s">
        <v>689</v>
      </c>
      <c r="N167" s="5" t="s">
        <v>690</v>
      </c>
      <c r="O167" s="5">
        <v>1</v>
      </c>
      <c r="P167" s="5">
        <v>0</v>
      </c>
      <c r="Q167" s="22">
        <f>_xlfn.XLOOKUP(H167, 'Anexo A'!$E$1:$E$77, 'Anexo A'!$I$1:$I$77, "", 0)</f>
        <v>43875</v>
      </c>
      <c r="R167" s="1"/>
      <c r="Y167" s="22"/>
    </row>
    <row r="168" spans="1:25" ht="72" x14ac:dyDescent="0.2">
      <c r="A168" s="4">
        <v>738</v>
      </c>
      <c r="B168" s="13" t="s">
        <v>16</v>
      </c>
      <c r="C168" s="5" t="s">
        <v>672</v>
      </c>
      <c r="D168" s="5" t="s">
        <v>673</v>
      </c>
      <c r="E168" s="5">
        <v>34</v>
      </c>
      <c r="F168" s="6" t="s">
        <v>674</v>
      </c>
      <c r="G168" s="7">
        <v>9991229424</v>
      </c>
      <c r="H168" s="7" t="s">
        <v>675</v>
      </c>
      <c r="I168" s="5" t="s">
        <v>21</v>
      </c>
      <c r="J168" s="5" t="s">
        <v>58</v>
      </c>
      <c r="K168" s="8" t="s">
        <v>23</v>
      </c>
      <c r="L168" s="16" t="s">
        <v>691</v>
      </c>
      <c r="M168" s="4" t="s">
        <v>692</v>
      </c>
      <c r="N168" s="5" t="s">
        <v>693</v>
      </c>
      <c r="O168" s="5">
        <v>1</v>
      </c>
      <c r="P168" s="5">
        <v>0</v>
      </c>
      <c r="Q168" s="22">
        <f>_xlfn.XLOOKUP(H168, 'Anexo A'!$E$1:$E$77, 'Anexo A'!$I$1:$I$77, "", 0)</f>
        <v>43875</v>
      </c>
      <c r="R168" s="1"/>
      <c r="Y168" s="22"/>
    </row>
    <row r="169" spans="1:25" ht="54" x14ac:dyDescent="0.2">
      <c r="A169" s="4">
        <v>738</v>
      </c>
      <c r="B169" s="13" t="s">
        <v>16</v>
      </c>
      <c r="C169" s="5" t="s">
        <v>694</v>
      </c>
      <c r="D169" s="5" t="s">
        <v>695</v>
      </c>
      <c r="E169" s="5">
        <v>35</v>
      </c>
      <c r="F169" s="6" t="s">
        <v>696</v>
      </c>
      <c r="G169" s="7">
        <v>9992403110</v>
      </c>
      <c r="H169" s="7" t="s">
        <v>697</v>
      </c>
      <c r="I169" s="5" t="s">
        <v>85</v>
      </c>
      <c r="J169" s="5" t="s">
        <v>164</v>
      </c>
      <c r="K169" s="8" t="s">
        <v>92</v>
      </c>
      <c r="L169" s="16" t="s">
        <v>698</v>
      </c>
      <c r="M169" s="4" t="s">
        <v>699</v>
      </c>
      <c r="N169" s="9" t="s">
        <v>700</v>
      </c>
      <c r="O169" s="5">
        <v>0</v>
      </c>
      <c r="P169" s="5">
        <v>1</v>
      </c>
      <c r="Q169" s="22">
        <f>_xlfn.XLOOKUP(H169, 'Anexo A'!$E$1:$E$77, 'Anexo A'!$I$1:$I$77, "", 0)</f>
        <v>43885</v>
      </c>
      <c r="R169" s="1"/>
      <c r="Y169" s="22"/>
    </row>
    <row r="170" spans="1:25" ht="54" x14ac:dyDescent="0.2">
      <c r="A170" s="4">
        <v>738</v>
      </c>
      <c r="B170" s="13" t="s">
        <v>16</v>
      </c>
      <c r="C170" s="5" t="s">
        <v>701</v>
      </c>
      <c r="D170" s="5" t="s">
        <v>702</v>
      </c>
      <c r="E170" s="5">
        <v>36</v>
      </c>
      <c r="F170" s="6" t="s">
        <v>703</v>
      </c>
      <c r="G170" s="7">
        <v>5520869685</v>
      </c>
      <c r="H170" s="7" t="s">
        <v>704</v>
      </c>
      <c r="I170" s="5" t="s">
        <v>85</v>
      </c>
      <c r="J170" s="5" t="s">
        <v>164</v>
      </c>
      <c r="K170" s="5" t="s">
        <v>86</v>
      </c>
      <c r="L170" s="16" t="s">
        <v>705</v>
      </c>
      <c r="M170" s="4" t="s">
        <v>706</v>
      </c>
      <c r="N170" s="5" t="s">
        <v>707</v>
      </c>
      <c r="O170" s="5">
        <v>0</v>
      </c>
      <c r="P170" s="5">
        <v>1</v>
      </c>
      <c r="Q170" s="22">
        <f>_xlfn.XLOOKUP(H170, 'Anexo A'!$E$1:$E$77, 'Anexo A'!$I$1:$I$77, "", 0)</f>
        <v>44014</v>
      </c>
      <c r="R170" s="1"/>
      <c r="Y170" s="22"/>
    </row>
    <row r="171" spans="1:25" ht="54" x14ac:dyDescent="0.2">
      <c r="A171" s="4">
        <v>738</v>
      </c>
      <c r="B171" s="13" t="s">
        <v>16</v>
      </c>
      <c r="C171" s="5" t="s">
        <v>701</v>
      </c>
      <c r="D171" s="5" t="s">
        <v>702</v>
      </c>
      <c r="E171" s="5">
        <v>36</v>
      </c>
      <c r="F171" s="6" t="s">
        <v>703</v>
      </c>
      <c r="G171" s="7">
        <v>5520869685</v>
      </c>
      <c r="H171" s="7" t="s">
        <v>704</v>
      </c>
      <c r="I171" s="5" t="s">
        <v>57</v>
      </c>
      <c r="J171" s="5" t="s">
        <v>35</v>
      </c>
      <c r="K171" s="8" t="s">
        <v>481</v>
      </c>
      <c r="L171" s="16" t="s">
        <v>482</v>
      </c>
      <c r="M171" s="4">
        <v>16050</v>
      </c>
      <c r="N171" s="5" t="s">
        <v>708</v>
      </c>
      <c r="O171" s="5">
        <v>0</v>
      </c>
      <c r="P171" s="5">
        <v>1</v>
      </c>
      <c r="Q171" s="22">
        <f>_xlfn.XLOOKUP(H171, 'Anexo A'!$E$1:$E$77, 'Anexo A'!$I$1:$I$77, "", 0)</f>
        <v>44014</v>
      </c>
      <c r="R171" s="1"/>
      <c r="Y171" s="22"/>
    </row>
    <row r="172" spans="1:25" ht="54" x14ac:dyDescent="0.2">
      <c r="A172" s="4">
        <v>738</v>
      </c>
      <c r="B172" s="13" t="s">
        <v>16</v>
      </c>
      <c r="C172" s="5" t="s">
        <v>701</v>
      </c>
      <c r="D172" s="5" t="s">
        <v>702</v>
      </c>
      <c r="E172" s="5">
        <v>36</v>
      </c>
      <c r="F172" s="6" t="s">
        <v>703</v>
      </c>
      <c r="G172" s="7">
        <v>5520869685</v>
      </c>
      <c r="H172" s="7" t="s">
        <v>704</v>
      </c>
      <c r="I172" s="5" t="s">
        <v>709</v>
      </c>
      <c r="J172" s="5" t="s">
        <v>710</v>
      </c>
      <c r="K172" s="5" t="s">
        <v>711</v>
      </c>
      <c r="L172" s="16" t="s">
        <v>712</v>
      </c>
      <c r="M172" s="4" t="s">
        <v>713</v>
      </c>
      <c r="N172" s="5" t="s">
        <v>714</v>
      </c>
      <c r="O172" s="5">
        <v>0</v>
      </c>
      <c r="P172" s="5">
        <v>1</v>
      </c>
      <c r="Q172" s="22">
        <f>_xlfn.XLOOKUP(H172, 'Anexo A'!$E$1:$E$77, 'Anexo A'!$I$1:$I$77, "", 0)</f>
        <v>44014</v>
      </c>
      <c r="R172" s="1"/>
      <c r="Y172" s="22"/>
    </row>
    <row r="173" spans="1:25" ht="54" x14ac:dyDescent="0.2">
      <c r="A173" s="4">
        <v>738</v>
      </c>
      <c r="B173" s="13" t="s">
        <v>16</v>
      </c>
      <c r="C173" s="5" t="s">
        <v>701</v>
      </c>
      <c r="D173" s="5" t="s">
        <v>702</v>
      </c>
      <c r="E173" s="5">
        <v>36</v>
      </c>
      <c r="F173" s="6" t="s">
        <v>703</v>
      </c>
      <c r="G173" s="7">
        <v>5520869685</v>
      </c>
      <c r="H173" s="7" t="s">
        <v>704</v>
      </c>
      <c r="I173" s="5" t="s">
        <v>21</v>
      </c>
      <c r="J173" s="5" t="s">
        <v>345</v>
      </c>
      <c r="K173" s="8" t="s">
        <v>233</v>
      </c>
      <c r="L173" s="16" t="s">
        <v>715</v>
      </c>
      <c r="M173" s="4" t="s">
        <v>716</v>
      </c>
      <c r="N173" s="5" t="s">
        <v>717</v>
      </c>
      <c r="O173" s="5">
        <v>1</v>
      </c>
      <c r="P173" s="5">
        <v>0</v>
      </c>
      <c r="Q173" s="22">
        <f>_xlfn.XLOOKUP(H173, 'Anexo A'!$E$1:$E$77, 'Anexo A'!$I$1:$I$77, "", 0)</f>
        <v>44014</v>
      </c>
      <c r="R173" s="1"/>
      <c r="Y173" s="22"/>
    </row>
    <row r="174" spans="1:25" ht="54" x14ac:dyDescent="0.2">
      <c r="A174" s="4">
        <v>738</v>
      </c>
      <c r="B174" s="13" t="s">
        <v>16</v>
      </c>
      <c r="C174" s="5" t="s">
        <v>701</v>
      </c>
      <c r="D174" s="5" t="s">
        <v>702</v>
      </c>
      <c r="E174" s="5">
        <v>36</v>
      </c>
      <c r="F174" s="6" t="s">
        <v>703</v>
      </c>
      <c r="G174" s="7">
        <v>5520869685</v>
      </c>
      <c r="H174" s="7" t="s">
        <v>704</v>
      </c>
      <c r="I174" s="5" t="s">
        <v>21</v>
      </c>
      <c r="J174" s="5" t="s">
        <v>35</v>
      </c>
      <c r="K174" s="5" t="s">
        <v>363</v>
      </c>
      <c r="L174" s="16" t="s">
        <v>718</v>
      </c>
      <c r="M174" s="4" t="s">
        <v>719</v>
      </c>
      <c r="N174" s="5" t="s">
        <v>720</v>
      </c>
      <c r="O174" s="5">
        <v>1</v>
      </c>
      <c r="P174" s="5">
        <v>0</v>
      </c>
      <c r="Q174" s="22">
        <f>_xlfn.XLOOKUP(H174, 'Anexo A'!$E$1:$E$77, 'Anexo A'!$I$1:$I$77, "", 0)</f>
        <v>44014</v>
      </c>
      <c r="R174" s="1"/>
      <c r="Y174" s="22"/>
    </row>
    <row r="175" spans="1:25" ht="54" x14ac:dyDescent="0.2">
      <c r="A175" s="4">
        <v>738</v>
      </c>
      <c r="B175" s="13" t="s">
        <v>16</v>
      </c>
      <c r="C175" s="5" t="s">
        <v>701</v>
      </c>
      <c r="D175" s="5" t="s">
        <v>702</v>
      </c>
      <c r="E175" s="5">
        <v>36</v>
      </c>
      <c r="F175" s="6" t="s">
        <v>703</v>
      </c>
      <c r="G175" s="7">
        <v>5520869685</v>
      </c>
      <c r="H175" s="7" t="s">
        <v>704</v>
      </c>
      <c r="I175" s="5" t="s">
        <v>21</v>
      </c>
      <c r="J175" s="5" t="s">
        <v>22</v>
      </c>
      <c r="K175" s="8" t="s">
        <v>23</v>
      </c>
      <c r="L175" s="16" t="s">
        <v>24</v>
      </c>
      <c r="M175" s="4" t="s">
        <v>721</v>
      </c>
      <c r="N175" s="5" t="s">
        <v>722</v>
      </c>
      <c r="O175" s="5">
        <v>1</v>
      </c>
      <c r="P175" s="5">
        <v>0</v>
      </c>
      <c r="Q175" s="22">
        <f>_xlfn.XLOOKUP(H175, 'Anexo A'!$E$1:$E$77, 'Anexo A'!$I$1:$I$77, "", 0)</f>
        <v>44014</v>
      </c>
      <c r="R175" s="1"/>
      <c r="Y175" s="22"/>
    </row>
    <row r="176" spans="1:25" ht="54" x14ac:dyDescent="0.2">
      <c r="A176" s="4">
        <v>738</v>
      </c>
      <c r="B176" s="13" t="s">
        <v>16</v>
      </c>
      <c r="C176" s="5" t="s">
        <v>701</v>
      </c>
      <c r="D176" s="5" t="s">
        <v>702</v>
      </c>
      <c r="E176" s="5">
        <v>36</v>
      </c>
      <c r="F176" s="6" t="s">
        <v>703</v>
      </c>
      <c r="G176" s="7">
        <v>5520869685</v>
      </c>
      <c r="H176" s="7" t="s">
        <v>704</v>
      </c>
      <c r="I176" s="5" t="s">
        <v>21</v>
      </c>
      <c r="J176" s="5" t="s">
        <v>356</v>
      </c>
      <c r="K176" s="8" t="s">
        <v>23</v>
      </c>
      <c r="L176" s="16" t="s">
        <v>723</v>
      </c>
      <c r="M176" s="4" t="s">
        <v>724</v>
      </c>
      <c r="N176" s="5" t="s">
        <v>725</v>
      </c>
      <c r="O176" s="5">
        <v>1</v>
      </c>
      <c r="P176" s="5">
        <v>0</v>
      </c>
      <c r="Q176" s="22">
        <f>_xlfn.XLOOKUP(H176, 'Anexo A'!$E$1:$E$77, 'Anexo A'!$I$1:$I$77, "", 0)</f>
        <v>44014</v>
      </c>
      <c r="R176" s="1"/>
      <c r="Y176" s="22"/>
    </row>
    <row r="177" spans="1:25" ht="54" x14ac:dyDescent="0.2">
      <c r="A177" s="4">
        <v>738</v>
      </c>
      <c r="B177" s="13" t="s">
        <v>16</v>
      </c>
      <c r="C177" s="5" t="s">
        <v>701</v>
      </c>
      <c r="D177" s="5" t="s">
        <v>702</v>
      </c>
      <c r="E177" s="5">
        <v>36</v>
      </c>
      <c r="F177" s="6" t="s">
        <v>703</v>
      </c>
      <c r="G177" s="7">
        <v>5520869685</v>
      </c>
      <c r="H177" s="7" t="s">
        <v>704</v>
      </c>
      <c r="I177" s="5" t="s">
        <v>21</v>
      </c>
      <c r="J177" s="5">
        <v>380</v>
      </c>
      <c r="K177" s="8" t="s">
        <v>53</v>
      </c>
      <c r="L177" s="16" t="s">
        <v>726</v>
      </c>
      <c r="M177" s="4" t="s">
        <v>727</v>
      </c>
      <c r="N177" s="5" t="s">
        <v>728</v>
      </c>
      <c r="O177" s="5">
        <v>1</v>
      </c>
      <c r="P177" s="5">
        <v>0</v>
      </c>
      <c r="Q177" s="22">
        <f>_xlfn.XLOOKUP(H177, 'Anexo A'!$E$1:$E$77, 'Anexo A'!$I$1:$I$77, "", 0)</f>
        <v>44014</v>
      </c>
      <c r="R177" s="1"/>
      <c r="Y177" s="22"/>
    </row>
    <row r="178" spans="1:25" ht="54" x14ac:dyDescent="0.2">
      <c r="A178" s="4">
        <v>738</v>
      </c>
      <c r="B178" s="13" t="s">
        <v>16</v>
      </c>
      <c r="C178" s="5" t="s">
        <v>729</v>
      </c>
      <c r="D178" s="5" t="s">
        <v>730</v>
      </c>
      <c r="E178" s="5">
        <v>37</v>
      </c>
      <c r="F178" s="6" t="s">
        <v>731</v>
      </c>
      <c r="G178" s="7">
        <v>9991276042</v>
      </c>
      <c r="H178" s="7" t="s">
        <v>732</v>
      </c>
      <c r="I178" s="5" t="s">
        <v>85</v>
      </c>
      <c r="J178" s="5" t="s">
        <v>164</v>
      </c>
      <c r="K178" s="8" t="s">
        <v>86</v>
      </c>
      <c r="L178" s="16" t="s">
        <v>733</v>
      </c>
      <c r="M178" s="4" t="s">
        <v>734</v>
      </c>
      <c r="N178" s="5" t="s">
        <v>735</v>
      </c>
      <c r="O178" s="5">
        <v>0</v>
      </c>
      <c r="P178" s="5">
        <v>1</v>
      </c>
      <c r="Q178" s="22">
        <f>_xlfn.XLOOKUP(H178, 'Anexo A'!$E$1:$E$77, 'Anexo A'!$I$1:$I$77, "", 0)</f>
        <v>44125</v>
      </c>
      <c r="R178" s="1"/>
      <c r="Y178" s="22"/>
    </row>
    <row r="179" spans="1:25" ht="72" x14ac:dyDescent="0.2">
      <c r="A179" s="4">
        <v>738</v>
      </c>
      <c r="B179" s="13" t="s">
        <v>16</v>
      </c>
      <c r="C179" s="5" t="s">
        <v>736</v>
      </c>
      <c r="D179" s="5" t="s">
        <v>737</v>
      </c>
      <c r="E179" s="5">
        <v>38</v>
      </c>
      <c r="F179" s="6" t="s">
        <v>738</v>
      </c>
      <c r="G179" s="7">
        <v>9991375427</v>
      </c>
      <c r="H179" s="7" t="s">
        <v>739</v>
      </c>
      <c r="I179" s="5" t="s">
        <v>85</v>
      </c>
      <c r="J179" s="5" t="s">
        <v>164</v>
      </c>
      <c r="K179" s="5" t="s">
        <v>740</v>
      </c>
      <c r="L179" s="16" t="s">
        <v>741</v>
      </c>
      <c r="M179" s="4">
        <v>35170</v>
      </c>
      <c r="N179" s="5" t="s">
        <v>742</v>
      </c>
      <c r="O179" s="5">
        <v>0</v>
      </c>
      <c r="P179" s="5">
        <v>1</v>
      </c>
      <c r="Q179" s="22">
        <f>_xlfn.XLOOKUP(H179, 'Anexo A'!$E$1:$E$77, 'Anexo A'!$I$1:$I$77, "", 0)</f>
        <v>44221</v>
      </c>
      <c r="R179" s="1"/>
      <c r="Y179" s="22"/>
    </row>
    <row r="180" spans="1:25" ht="72" x14ac:dyDescent="0.2">
      <c r="A180" s="4">
        <v>738</v>
      </c>
      <c r="B180" s="13" t="s">
        <v>16</v>
      </c>
      <c r="C180" s="5" t="s">
        <v>736</v>
      </c>
      <c r="D180" s="5" t="s">
        <v>737</v>
      </c>
      <c r="E180" s="5">
        <v>38</v>
      </c>
      <c r="F180" s="6" t="s">
        <v>738</v>
      </c>
      <c r="G180" s="7">
        <v>9991375427</v>
      </c>
      <c r="H180" s="7" t="s">
        <v>739</v>
      </c>
      <c r="I180" s="5" t="s">
        <v>85</v>
      </c>
      <c r="J180" s="5" t="s">
        <v>164</v>
      </c>
      <c r="K180" s="5" t="s">
        <v>154</v>
      </c>
      <c r="L180" s="16" t="s">
        <v>178</v>
      </c>
      <c r="M180" s="4" t="s">
        <v>743</v>
      </c>
      <c r="N180" s="5" t="s">
        <v>744</v>
      </c>
      <c r="O180" s="5">
        <v>0</v>
      </c>
      <c r="P180" s="5">
        <v>1</v>
      </c>
      <c r="Q180" s="22">
        <f>_xlfn.XLOOKUP(H180, 'Anexo A'!$E$1:$E$77, 'Anexo A'!$I$1:$I$77, "", 0)</f>
        <v>44221</v>
      </c>
      <c r="R180" s="1"/>
      <c r="Y180" s="22"/>
    </row>
    <row r="181" spans="1:25" ht="54" x14ac:dyDescent="0.2">
      <c r="A181" s="4">
        <v>738</v>
      </c>
      <c r="B181" s="13" t="s">
        <v>16</v>
      </c>
      <c r="C181" s="5" t="s">
        <v>745</v>
      </c>
      <c r="D181" s="5" t="s">
        <v>746</v>
      </c>
      <c r="E181" s="5">
        <v>39</v>
      </c>
      <c r="F181" s="6" t="s">
        <v>747</v>
      </c>
      <c r="G181" s="7">
        <v>9993356071</v>
      </c>
      <c r="H181" s="7" t="s">
        <v>748</v>
      </c>
      <c r="I181" s="5" t="s">
        <v>21</v>
      </c>
      <c r="J181" s="5" t="s">
        <v>345</v>
      </c>
      <c r="K181" s="5" t="s">
        <v>749</v>
      </c>
      <c r="L181" s="16" t="s">
        <v>97</v>
      </c>
      <c r="M181" s="4">
        <v>647345</v>
      </c>
      <c r="N181" s="5" t="s">
        <v>750</v>
      </c>
      <c r="O181" s="5">
        <v>1</v>
      </c>
      <c r="P181" s="5">
        <v>0</v>
      </c>
      <c r="Q181" s="22">
        <f>_xlfn.XLOOKUP(H181, 'Anexo A'!$E$1:$E$77, 'Anexo A'!$I$1:$I$77, "", 0)</f>
        <v>44231</v>
      </c>
      <c r="R181" s="1"/>
      <c r="Y181" s="22"/>
    </row>
    <row r="182" spans="1:25" ht="54" x14ac:dyDescent="0.2">
      <c r="A182" s="4">
        <v>738</v>
      </c>
      <c r="B182" s="13" t="s">
        <v>16</v>
      </c>
      <c r="C182" s="5" t="s">
        <v>745</v>
      </c>
      <c r="D182" s="5" t="s">
        <v>746</v>
      </c>
      <c r="E182" s="5">
        <v>39</v>
      </c>
      <c r="F182" s="6" t="s">
        <v>747</v>
      </c>
      <c r="G182" s="7">
        <v>9993356071</v>
      </c>
      <c r="H182" s="7" t="s">
        <v>748</v>
      </c>
      <c r="I182" s="5" t="s">
        <v>57</v>
      </c>
      <c r="J182" s="5" t="s">
        <v>345</v>
      </c>
      <c r="K182" s="5" t="s">
        <v>424</v>
      </c>
      <c r="L182" s="16" t="s">
        <v>751</v>
      </c>
      <c r="M182" s="4" t="s">
        <v>752</v>
      </c>
      <c r="N182" s="5" t="s">
        <v>753</v>
      </c>
      <c r="O182" s="5">
        <v>0</v>
      </c>
      <c r="P182" s="5">
        <v>1</v>
      </c>
      <c r="Q182" s="22">
        <f>_xlfn.XLOOKUP(H182, 'Anexo A'!$E$1:$E$77, 'Anexo A'!$I$1:$I$77, "", 0)</f>
        <v>44231</v>
      </c>
      <c r="R182" s="1"/>
      <c r="Y182" s="22"/>
    </row>
    <row r="183" spans="1:25" ht="54" x14ac:dyDescent="0.2">
      <c r="A183" s="4">
        <v>738</v>
      </c>
      <c r="B183" s="13" t="s">
        <v>16</v>
      </c>
      <c r="C183" s="5" t="s">
        <v>745</v>
      </c>
      <c r="D183" s="5" t="s">
        <v>746</v>
      </c>
      <c r="E183" s="5">
        <v>39</v>
      </c>
      <c r="F183" s="6" t="s">
        <v>747</v>
      </c>
      <c r="G183" s="7">
        <v>9993356071</v>
      </c>
      <c r="H183" s="7" t="s">
        <v>748</v>
      </c>
      <c r="I183" s="5" t="s">
        <v>85</v>
      </c>
      <c r="J183" s="5">
        <v>12</v>
      </c>
      <c r="K183" s="5" t="s">
        <v>185</v>
      </c>
      <c r="L183" s="16" t="s">
        <v>754</v>
      </c>
      <c r="M183" s="4">
        <v>20816383</v>
      </c>
      <c r="N183" s="5" t="s">
        <v>755</v>
      </c>
      <c r="O183" s="5">
        <v>0</v>
      </c>
      <c r="P183" s="5">
        <v>1</v>
      </c>
      <c r="Q183" s="22">
        <f>_xlfn.XLOOKUP(H183, 'Anexo A'!$E$1:$E$77, 'Anexo A'!$I$1:$I$77, "", 0)</f>
        <v>44231</v>
      </c>
      <c r="R183" s="1"/>
      <c r="Y183" s="22"/>
    </row>
    <row r="184" spans="1:25" ht="54" x14ac:dyDescent="0.2">
      <c r="A184" s="4">
        <v>738</v>
      </c>
      <c r="B184" s="13" t="s">
        <v>16</v>
      </c>
      <c r="C184" s="5" t="s">
        <v>756</v>
      </c>
      <c r="D184" s="5" t="s">
        <v>757</v>
      </c>
      <c r="E184" s="5">
        <v>40</v>
      </c>
      <c r="F184" s="6" t="s">
        <v>758</v>
      </c>
      <c r="G184" s="7">
        <v>9991369874</v>
      </c>
      <c r="H184" s="7" t="s">
        <v>759</v>
      </c>
      <c r="I184" s="5" t="s">
        <v>21</v>
      </c>
      <c r="J184" s="5" t="s">
        <v>218</v>
      </c>
      <c r="K184" s="5" t="s">
        <v>110</v>
      </c>
      <c r="L184" s="16" t="s">
        <v>760</v>
      </c>
      <c r="M184" s="4">
        <v>7130</v>
      </c>
      <c r="N184" s="5" t="s">
        <v>761</v>
      </c>
      <c r="O184" s="5">
        <v>1</v>
      </c>
      <c r="P184" s="5">
        <v>0</v>
      </c>
      <c r="Q184" s="22">
        <f>_xlfn.XLOOKUP(H184, 'Anexo A'!$E$1:$E$77, 'Anexo A'!$I$1:$I$77, "", 0)</f>
        <v>44371</v>
      </c>
      <c r="R184" s="1"/>
      <c r="Y184" s="22"/>
    </row>
    <row r="185" spans="1:25" ht="54" x14ac:dyDescent="0.2">
      <c r="A185" s="4">
        <v>738</v>
      </c>
      <c r="B185" s="13" t="s">
        <v>16</v>
      </c>
      <c r="C185" s="5" t="s">
        <v>762</v>
      </c>
      <c r="D185" s="5" t="s">
        <v>763</v>
      </c>
      <c r="E185" s="5">
        <v>41</v>
      </c>
      <c r="F185" s="6" t="s">
        <v>764</v>
      </c>
      <c r="G185" s="7">
        <v>5520985073</v>
      </c>
      <c r="H185" s="7" t="s">
        <v>765</v>
      </c>
      <c r="I185" s="5" t="s">
        <v>21</v>
      </c>
      <c r="J185" s="5" t="s">
        <v>218</v>
      </c>
      <c r="K185" s="5" t="s">
        <v>23</v>
      </c>
      <c r="L185" s="16" t="s">
        <v>766</v>
      </c>
      <c r="M185" s="4" t="s">
        <v>767</v>
      </c>
      <c r="N185" s="5" t="s">
        <v>768</v>
      </c>
      <c r="O185" s="5">
        <v>1</v>
      </c>
      <c r="P185" s="5">
        <v>0</v>
      </c>
      <c r="Q185" s="22">
        <f>_xlfn.XLOOKUP(H185, 'Anexo A'!$E$1:$E$77, 'Anexo A'!$I$1:$I$77, "", 0)</f>
        <v>44623</v>
      </c>
      <c r="R185" s="1"/>
      <c r="Y185" s="22"/>
    </row>
    <row r="186" spans="1:25" ht="54" x14ac:dyDescent="0.2">
      <c r="A186" s="4">
        <v>738</v>
      </c>
      <c r="B186" s="13" t="s">
        <v>16</v>
      </c>
      <c r="C186" s="5" t="s">
        <v>769</v>
      </c>
      <c r="D186" s="5" t="s">
        <v>770</v>
      </c>
      <c r="E186" s="5">
        <v>42</v>
      </c>
      <c r="F186" s="6" t="s">
        <v>771</v>
      </c>
      <c r="G186" s="7">
        <v>9994992099</v>
      </c>
      <c r="H186" s="7" t="s">
        <v>772</v>
      </c>
      <c r="I186" s="5" t="s">
        <v>21</v>
      </c>
      <c r="J186" s="5" t="s">
        <v>218</v>
      </c>
      <c r="K186" s="5" t="s">
        <v>110</v>
      </c>
      <c r="L186" s="16" t="s">
        <v>773</v>
      </c>
      <c r="M186" s="4" t="s">
        <v>774</v>
      </c>
      <c r="N186" s="5" t="s">
        <v>775</v>
      </c>
      <c r="O186" s="5">
        <v>1</v>
      </c>
      <c r="P186" s="5">
        <v>0</v>
      </c>
      <c r="Q186" s="22">
        <f>_xlfn.XLOOKUP(H186, 'Anexo A'!$E$1:$E$77, 'Anexo A'!$I$1:$I$77, "", 0)</f>
        <v>44412</v>
      </c>
      <c r="R186" s="1"/>
      <c r="Y186" s="22"/>
    </row>
    <row r="187" spans="1:25" ht="72" x14ac:dyDescent="0.2">
      <c r="A187" s="4">
        <v>738</v>
      </c>
      <c r="B187" s="13" t="s">
        <v>16</v>
      </c>
      <c r="C187" s="5" t="s">
        <v>776</v>
      </c>
      <c r="D187" s="5" t="s">
        <v>777</v>
      </c>
      <c r="E187" s="5">
        <v>43</v>
      </c>
      <c r="F187" s="6" t="s">
        <v>778</v>
      </c>
      <c r="G187" s="7">
        <v>5530565722</v>
      </c>
      <c r="H187" s="7" t="s">
        <v>779</v>
      </c>
      <c r="I187" s="5" t="s">
        <v>21</v>
      </c>
      <c r="J187" s="5" t="s">
        <v>45</v>
      </c>
      <c r="K187" s="5" t="s">
        <v>780</v>
      </c>
      <c r="L187" s="16" t="s">
        <v>781</v>
      </c>
      <c r="M187" s="4" t="s">
        <v>782</v>
      </c>
      <c r="N187" s="5" t="s">
        <v>783</v>
      </c>
      <c r="O187" s="5">
        <v>1</v>
      </c>
      <c r="P187" s="5">
        <v>0</v>
      </c>
      <c r="Q187" s="22">
        <f>_xlfn.XLOOKUP(H187, 'Anexo A'!$E$1:$E$77, 'Anexo A'!$I$1:$I$77, "", 0)</f>
        <v>44544</v>
      </c>
      <c r="R187" s="1"/>
      <c r="Y187" s="22"/>
    </row>
    <row r="188" spans="1:25" ht="72" x14ac:dyDescent="0.2">
      <c r="A188" s="4">
        <v>738</v>
      </c>
      <c r="B188" s="13" t="s">
        <v>16</v>
      </c>
      <c r="C188" s="5" t="s">
        <v>776</v>
      </c>
      <c r="D188" s="5" t="s">
        <v>777</v>
      </c>
      <c r="E188" s="5">
        <v>43</v>
      </c>
      <c r="F188" s="6" t="s">
        <v>778</v>
      </c>
      <c r="G188" s="7">
        <v>5530565722</v>
      </c>
      <c r="H188" s="7" t="s">
        <v>779</v>
      </c>
      <c r="I188" s="5" t="s">
        <v>21</v>
      </c>
      <c r="J188" s="5" t="s">
        <v>356</v>
      </c>
      <c r="K188" s="5" t="s">
        <v>780</v>
      </c>
      <c r="L188" s="16" t="s">
        <v>784</v>
      </c>
      <c r="M188" s="4" t="s">
        <v>785</v>
      </c>
      <c r="N188" s="5" t="s">
        <v>786</v>
      </c>
      <c r="O188" s="5">
        <v>1</v>
      </c>
      <c r="P188" s="5">
        <v>0</v>
      </c>
      <c r="Q188" s="22">
        <f>_xlfn.XLOOKUP(H188, 'Anexo A'!$E$1:$E$77, 'Anexo A'!$I$1:$I$77, "", 0)</f>
        <v>44544</v>
      </c>
      <c r="R188" s="1"/>
      <c r="Y188" s="22"/>
    </row>
    <row r="189" spans="1:25" ht="72" x14ac:dyDescent="0.2">
      <c r="A189" s="4">
        <v>738</v>
      </c>
      <c r="B189" s="13" t="s">
        <v>16</v>
      </c>
      <c r="C189" s="5" t="s">
        <v>776</v>
      </c>
      <c r="D189" s="5" t="s">
        <v>777</v>
      </c>
      <c r="E189" s="5">
        <v>43</v>
      </c>
      <c r="F189" s="6" t="s">
        <v>778</v>
      </c>
      <c r="G189" s="7">
        <v>5530565722</v>
      </c>
      <c r="H189" s="7" t="s">
        <v>779</v>
      </c>
      <c r="I189" s="5" t="s">
        <v>21</v>
      </c>
      <c r="J189" s="5" t="s">
        <v>35</v>
      </c>
      <c r="K189" s="5" t="s">
        <v>780</v>
      </c>
      <c r="L189" s="16" t="s">
        <v>787</v>
      </c>
      <c r="M189" s="4" t="s">
        <v>788</v>
      </c>
      <c r="N189" s="5" t="s">
        <v>789</v>
      </c>
      <c r="O189" s="5">
        <v>1</v>
      </c>
      <c r="P189" s="5">
        <v>0</v>
      </c>
      <c r="Q189" s="22">
        <f>_xlfn.XLOOKUP(H189, 'Anexo A'!$E$1:$E$77, 'Anexo A'!$I$1:$I$77, "", 0)</f>
        <v>44544</v>
      </c>
      <c r="R189" s="1"/>
      <c r="Y189" s="22"/>
    </row>
    <row r="190" spans="1:25" ht="72" x14ac:dyDescent="0.2">
      <c r="A190" s="4">
        <v>738</v>
      </c>
      <c r="B190" s="13" t="s">
        <v>16</v>
      </c>
      <c r="C190" s="5" t="s">
        <v>776</v>
      </c>
      <c r="D190" s="5" t="s">
        <v>777</v>
      </c>
      <c r="E190" s="5">
        <v>43</v>
      </c>
      <c r="F190" s="6" t="s">
        <v>778</v>
      </c>
      <c r="G190" s="7">
        <v>5530565722</v>
      </c>
      <c r="H190" s="7" t="s">
        <v>779</v>
      </c>
      <c r="I190" s="5" t="s">
        <v>21</v>
      </c>
      <c r="J190" s="5" t="s">
        <v>218</v>
      </c>
      <c r="K190" s="5" t="s">
        <v>23</v>
      </c>
      <c r="L190" s="16" t="s">
        <v>24</v>
      </c>
      <c r="M190" s="4" t="s">
        <v>790</v>
      </c>
      <c r="N190" s="5" t="s">
        <v>791</v>
      </c>
      <c r="O190" s="5">
        <v>1</v>
      </c>
      <c r="P190" s="5">
        <v>0</v>
      </c>
      <c r="Q190" s="22">
        <f>_xlfn.XLOOKUP(H190, 'Anexo A'!$E$1:$E$77, 'Anexo A'!$I$1:$I$77, "", 0)</f>
        <v>44544</v>
      </c>
      <c r="R190" s="1"/>
      <c r="Y190" s="22"/>
    </row>
    <row r="191" spans="1:25" ht="72" x14ac:dyDescent="0.2">
      <c r="A191" s="4">
        <v>738</v>
      </c>
      <c r="B191" s="13" t="s">
        <v>16</v>
      </c>
      <c r="C191" s="5" t="s">
        <v>776</v>
      </c>
      <c r="D191" s="5" t="s">
        <v>777</v>
      </c>
      <c r="E191" s="5">
        <v>43</v>
      </c>
      <c r="F191" s="6" t="s">
        <v>778</v>
      </c>
      <c r="G191" s="7">
        <v>5530565722</v>
      </c>
      <c r="H191" s="7" t="s">
        <v>779</v>
      </c>
      <c r="I191" s="5" t="s">
        <v>21</v>
      </c>
      <c r="J191" s="5" t="s">
        <v>218</v>
      </c>
      <c r="K191" s="5" t="s">
        <v>23</v>
      </c>
      <c r="L191" s="16" t="s">
        <v>24</v>
      </c>
      <c r="M191" s="4" t="s">
        <v>792</v>
      </c>
      <c r="N191" s="5" t="s">
        <v>793</v>
      </c>
      <c r="O191" s="5">
        <v>1</v>
      </c>
      <c r="P191" s="5">
        <v>0</v>
      </c>
      <c r="Q191" s="22">
        <f>_xlfn.XLOOKUP(H191, 'Anexo A'!$E$1:$E$77, 'Anexo A'!$I$1:$I$77, "", 0)</f>
        <v>44544</v>
      </c>
      <c r="R191" s="1"/>
      <c r="Y191" s="22"/>
    </row>
    <row r="192" spans="1:25" ht="72" x14ac:dyDescent="0.2">
      <c r="A192" s="4">
        <v>738</v>
      </c>
      <c r="B192" s="13" t="s">
        <v>16</v>
      </c>
      <c r="C192" s="5" t="s">
        <v>776</v>
      </c>
      <c r="D192" s="5" t="s">
        <v>777</v>
      </c>
      <c r="E192" s="5">
        <v>43</v>
      </c>
      <c r="F192" s="6" t="s">
        <v>778</v>
      </c>
      <c r="G192" s="7">
        <v>5530565722</v>
      </c>
      <c r="H192" s="7" t="s">
        <v>779</v>
      </c>
      <c r="I192" s="5" t="s">
        <v>57</v>
      </c>
      <c r="J192" s="5" t="s">
        <v>35</v>
      </c>
      <c r="K192" s="5" t="s">
        <v>136</v>
      </c>
      <c r="L192" s="16" t="s">
        <v>794</v>
      </c>
      <c r="M192" s="4" t="s">
        <v>795</v>
      </c>
      <c r="N192" s="5" t="s">
        <v>796</v>
      </c>
      <c r="O192" s="5">
        <v>0</v>
      </c>
      <c r="P192" s="5">
        <v>1</v>
      </c>
      <c r="Q192" s="22">
        <f>_xlfn.XLOOKUP(H192, 'Anexo A'!$E$1:$E$77, 'Anexo A'!$I$1:$I$77, "", 0)</f>
        <v>44544</v>
      </c>
      <c r="R192" s="1"/>
      <c r="Y192" s="22"/>
    </row>
    <row r="193" spans="1:25" ht="72" x14ac:dyDescent="0.2">
      <c r="A193" s="4">
        <v>738</v>
      </c>
      <c r="B193" s="13" t="s">
        <v>16</v>
      </c>
      <c r="C193" s="5" t="s">
        <v>776</v>
      </c>
      <c r="D193" s="5" t="s">
        <v>777</v>
      </c>
      <c r="E193" s="5">
        <v>43</v>
      </c>
      <c r="F193" s="6" t="s">
        <v>778</v>
      </c>
      <c r="G193" s="7">
        <v>5530565722</v>
      </c>
      <c r="H193" s="7" t="s">
        <v>779</v>
      </c>
      <c r="I193" s="5" t="s">
        <v>57</v>
      </c>
      <c r="J193" s="5" t="s">
        <v>35</v>
      </c>
      <c r="K193" s="5" t="s">
        <v>136</v>
      </c>
      <c r="L193" s="16" t="s">
        <v>794</v>
      </c>
      <c r="M193" s="4" t="s">
        <v>797</v>
      </c>
      <c r="N193" s="5" t="s">
        <v>798</v>
      </c>
      <c r="O193" s="5">
        <v>0</v>
      </c>
      <c r="P193" s="5">
        <v>1</v>
      </c>
      <c r="Q193" s="22">
        <f>_xlfn.XLOOKUP(H193, 'Anexo A'!$E$1:$E$77, 'Anexo A'!$I$1:$I$77, "", 0)</f>
        <v>44544</v>
      </c>
      <c r="R193" s="1"/>
      <c r="Y193" s="22"/>
    </row>
    <row r="194" spans="1:25" ht="72" x14ac:dyDescent="0.2">
      <c r="A194" s="4">
        <v>738</v>
      </c>
      <c r="B194" s="13" t="s">
        <v>16</v>
      </c>
      <c r="C194" s="5" t="s">
        <v>776</v>
      </c>
      <c r="D194" s="5" t="s">
        <v>777</v>
      </c>
      <c r="E194" s="5">
        <v>43</v>
      </c>
      <c r="F194" s="6" t="s">
        <v>778</v>
      </c>
      <c r="G194" s="7">
        <v>5530565722</v>
      </c>
      <c r="H194" s="7" t="s">
        <v>779</v>
      </c>
      <c r="I194" s="5" t="s">
        <v>57</v>
      </c>
      <c r="J194" s="5" t="s">
        <v>35</v>
      </c>
      <c r="K194" s="5" t="s">
        <v>570</v>
      </c>
      <c r="L194" s="16" t="s">
        <v>571</v>
      </c>
      <c r="M194" s="4" t="s">
        <v>799</v>
      </c>
      <c r="N194" s="5">
        <v>3722287</v>
      </c>
      <c r="O194" s="5">
        <v>0</v>
      </c>
      <c r="P194" s="5">
        <v>1</v>
      </c>
      <c r="Q194" s="22">
        <f>_xlfn.XLOOKUP(H194, 'Anexo A'!$E$1:$E$77, 'Anexo A'!$I$1:$I$77, "", 0)</f>
        <v>44544</v>
      </c>
      <c r="R194" s="1"/>
      <c r="Y194" s="22"/>
    </row>
    <row r="195" spans="1:25" ht="54" x14ac:dyDescent="0.2">
      <c r="A195" s="4">
        <v>738</v>
      </c>
      <c r="B195" s="13" t="s">
        <v>16</v>
      </c>
      <c r="C195" s="5" t="s">
        <v>800</v>
      </c>
      <c r="D195" s="5" t="s">
        <v>801</v>
      </c>
      <c r="E195" s="5">
        <v>44</v>
      </c>
      <c r="F195" s="6" t="s">
        <v>802</v>
      </c>
      <c r="G195" s="7">
        <v>9971248940</v>
      </c>
      <c r="H195" s="7" t="s">
        <v>803</v>
      </c>
      <c r="I195" s="5" t="s">
        <v>21</v>
      </c>
      <c r="J195" s="5" t="s">
        <v>218</v>
      </c>
      <c r="K195" s="5" t="s">
        <v>804</v>
      </c>
      <c r="L195" s="16" t="s">
        <v>97</v>
      </c>
      <c r="M195" s="4" t="s">
        <v>805</v>
      </c>
      <c r="N195" s="5" t="s">
        <v>806</v>
      </c>
      <c r="O195" s="5">
        <v>1</v>
      </c>
      <c r="P195" s="5">
        <v>0</v>
      </c>
      <c r="Q195" s="22">
        <f>_xlfn.XLOOKUP(H195, 'Anexo A'!$E$1:$E$77, 'Anexo A'!$I$1:$I$77, "", 0)</f>
        <v>44799</v>
      </c>
      <c r="R195" s="1"/>
      <c r="Y195" s="22"/>
    </row>
    <row r="196" spans="1:25" ht="54" x14ac:dyDescent="0.2">
      <c r="A196" s="4">
        <v>738</v>
      </c>
      <c r="B196" s="13" t="s">
        <v>16</v>
      </c>
      <c r="C196" s="5" t="s">
        <v>800</v>
      </c>
      <c r="D196" s="5" t="s">
        <v>801</v>
      </c>
      <c r="E196" s="5">
        <v>44</v>
      </c>
      <c r="F196" s="6" t="s">
        <v>802</v>
      </c>
      <c r="G196" s="7">
        <v>9971248940</v>
      </c>
      <c r="H196" s="7" t="s">
        <v>803</v>
      </c>
      <c r="I196" s="5" t="s">
        <v>21</v>
      </c>
      <c r="J196" s="5" t="s">
        <v>35</v>
      </c>
      <c r="K196" s="5" t="s">
        <v>110</v>
      </c>
      <c r="L196" s="16" t="s">
        <v>807</v>
      </c>
      <c r="M196" s="4" t="s">
        <v>808</v>
      </c>
      <c r="N196" s="5" t="s">
        <v>809</v>
      </c>
      <c r="O196" s="5">
        <v>1</v>
      </c>
      <c r="P196" s="5">
        <v>0</v>
      </c>
      <c r="Q196" s="22">
        <f>_xlfn.XLOOKUP(H196, 'Anexo A'!$E$1:$E$77, 'Anexo A'!$I$1:$I$77, "", 0)</f>
        <v>44799</v>
      </c>
      <c r="R196" s="1"/>
      <c r="Y196" s="22"/>
    </row>
    <row r="197" spans="1:25" ht="54" x14ac:dyDescent="0.2">
      <c r="A197" s="4">
        <v>738</v>
      </c>
      <c r="B197" s="13" t="s">
        <v>16</v>
      </c>
      <c r="C197" s="5" t="s">
        <v>800</v>
      </c>
      <c r="D197" s="5" t="s">
        <v>801</v>
      </c>
      <c r="E197" s="5">
        <v>44</v>
      </c>
      <c r="F197" s="6" t="s">
        <v>802</v>
      </c>
      <c r="G197" s="7">
        <v>9971248940</v>
      </c>
      <c r="H197" s="7" t="s">
        <v>803</v>
      </c>
      <c r="I197" s="5" t="s">
        <v>57</v>
      </c>
      <c r="J197" s="5" t="s">
        <v>531</v>
      </c>
      <c r="K197" s="5" t="s">
        <v>158</v>
      </c>
      <c r="L197" s="16" t="s">
        <v>254</v>
      </c>
      <c r="M197" s="4" t="s">
        <v>810</v>
      </c>
      <c r="N197" s="5" t="s">
        <v>811</v>
      </c>
      <c r="O197" s="5">
        <v>0</v>
      </c>
      <c r="P197" s="5">
        <v>1</v>
      </c>
      <c r="Q197" s="22">
        <f>_xlfn.XLOOKUP(H197, 'Anexo A'!$E$1:$E$77, 'Anexo A'!$I$1:$I$77, "", 0)</f>
        <v>44799</v>
      </c>
      <c r="R197" s="1"/>
      <c r="Y197" s="22"/>
    </row>
    <row r="198" spans="1:25" ht="54" x14ac:dyDescent="0.2">
      <c r="A198" s="4">
        <v>738</v>
      </c>
      <c r="B198" s="13" t="s">
        <v>16</v>
      </c>
      <c r="C198" s="5" t="s">
        <v>812</v>
      </c>
      <c r="D198" s="5" t="s">
        <v>813</v>
      </c>
      <c r="E198" s="5">
        <v>45</v>
      </c>
      <c r="F198" s="6" t="s">
        <v>814</v>
      </c>
      <c r="G198" s="7">
        <v>9992247551</v>
      </c>
      <c r="H198" s="7" t="s">
        <v>815</v>
      </c>
      <c r="I198" s="5" t="s">
        <v>85</v>
      </c>
      <c r="J198" s="5" t="s">
        <v>119</v>
      </c>
      <c r="K198" s="5" t="s">
        <v>154</v>
      </c>
      <c r="L198" s="16" t="s">
        <v>816</v>
      </c>
      <c r="M198" s="4" t="s">
        <v>817</v>
      </c>
      <c r="N198" s="5" t="s">
        <v>818</v>
      </c>
      <c r="O198" s="5">
        <v>0</v>
      </c>
      <c r="P198" s="5">
        <v>1</v>
      </c>
      <c r="Q198" s="22">
        <f>_xlfn.XLOOKUP(H198, 'Anexo A'!$E$1:$E$77, 'Anexo A'!$I$1:$I$77, "", 0)</f>
        <v>45163</v>
      </c>
      <c r="R198" s="1"/>
      <c r="Y198" s="22"/>
    </row>
    <row r="199" spans="1:25" ht="54" x14ac:dyDescent="0.2">
      <c r="A199" s="4">
        <v>738</v>
      </c>
      <c r="B199" s="13" t="s">
        <v>16</v>
      </c>
      <c r="C199" s="5" t="s">
        <v>812</v>
      </c>
      <c r="D199" s="5" t="s">
        <v>813</v>
      </c>
      <c r="E199" s="5">
        <v>45</v>
      </c>
      <c r="F199" s="6" t="s">
        <v>814</v>
      </c>
      <c r="G199" s="7">
        <v>9992247551</v>
      </c>
      <c r="H199" s="7" t="s">
        <v>815</v>
      </c>
      <c r="I199" s="5" t="s">
        <v>57</v>
      </c>
      <c r="J199" s="5" t="s">
        <v>123</v>
      </c>
      <c r="K199" s="5" t="s">
        <v>819</v>
      </c>
      <c r="L199" s="16" t="s">
        <v>820</v>
      </c>
      <c r="M199" s="4">
        <v>21669</v>
      </c>
      <c r="N199" s="5" t="s">
        <v>821</v>
      </c>
      <c r="O199" s="5">
        <v>0</v>
      </c>
      <c r="P199" s="5">
        <v>1</v>
      </c>
      <c r="Q199" s="22">
        <f>_xlfn.XLOOKUP(H199, 'Anexo A'!$E$1:$E$77, 'Anexo A'!$I$1:$I$77, "", 0)</f>
        <v>45163</v>
      </c>
      <c r="R199" s="1"/>
      <c r="Y199" s="22"/>
    </row>
    <row r="200" spans="1:25" ht="54" x14ac:dyDescent="0.2">
      <c r="A200" s="4">
        <v>738</v>
      </c>
      <c r="B200" s="13" t="s">
        <v>16</v>
      </c>
      <c r="C200" s="5" t="s">
        <v>812</v>
      </c>
      <c r="D200" s="5" t="s">
        <v>813</v>
      </c>
      <c r="E200" s="5">
        <v>45</v>
      </c>
      <c r="F200" s="6" t="s">
        <v>814</v>
      </c>
      <c r="G200" s="7">
        <v>9992247551</v>
      </c>
      <c r="H200" s="7" t="s">
        <v>815</v>
      </c>
      <c r="I200" s="5" t="s">
        <v>85</v>
      </c>
      <c r="J200" s="5" t="s">
        <v>822</v>
      </c>
      <c r="K200" s="5" t="s">
        <v>424</v>
      </c>
      <c r="L200" s="16" t="s">
        <v>97</v>
      </c>
      <c r="M200" s="4" t="s">
        <v>823</v>
      </c>
      <c r="N200" s="5" t="s">
        <v>824</v>
      </c>
      <c r="O200" s="5">
        <v>0</v>
      </c>
      <c r="P200" s="5">
        <v>1</v>
      </c>
      <c r="Q200" s="22">
        <f>_xlfn.XLOOKUP(H200, 'Anexo A'!$E$1:$E$77, 'Anexo A'!$I$1:$I$77, "", 0)</f>
        <v>45163</v>
      </c>
      <c r="R200" s="1"/>
      <c r="Y200" s="22"/>
    </row>
    <row r="201" spans="1:25" ht="54" x14ac:dyDescent="0.2">
      <c r="A201" s="4">
        <v>738</v>
      </c>
      <c r="B201" s="13" t="s">
        <v>16</v>
      </c>
      <c r="C201" s="5" t="s">
        <v>812</v>
      </c>
      <c r="D201" s="5" t="s">
        <v>813</v>
      </c>
      <c r="E201" s="5">
        <v>45</v>
      </c>
      <c r="F201" s="6" t="s">
        <v>814</v>
      </c>
      <c r="G201" s="7">
        <v>9992247551</v>
      </c>
      <c r="H201" s="7" t="s">
        <v>815</v>
      </c>
      <c r="I201" s="5" t="s">
        <v>825</v>
      </c>
      <c r="J201" s="5" t="s">
        <v>471</v>
      </c>
      <c r="K201" s="5" t="s">
        <v>826</v>
      </c>
      <c r="L201" s="16" t="s">
        <v>827</v>
      </c>
      <c r="M201" s="4" t="s">
        <v>828</v>
      </c>
      <c r="N201" s="5" t="s">
        <v>829</v>
      </c>
      <c r="O201" s="5">
        <v>0</v>
      </c>
      <c r="P201" s="5">
        <v>1</v>
      </c>
      <c r="Q201" s="22">
        <f>_xlfn.XLOOKUP(H201, 'Anexo A'!$E$1:$E$77, 'Anexo A'!$I$1:$I$77, "", 0)</f>
        <v>45163</v>
      </c>
      <c r="R201" s="1"/>
      <c r="Y201" s="22"/>
    </row>
    <row r="202" spans="1:25" ht="54" x14ac:dyDescent="0.2">
      <c r="A202" s="4">
        <v>738</v>
      </c>
      <c r="B202" s="13" t="s">
        <v>16</v>
      </c>
      <c r="C202" s="5" t="s">
        <v>830</v>
      </c>
      <c r="D202" s="5" t="s">
        <v>831</v>
      </c>
      <c r="E202" s="5">
        <v>46</v>
      </c>
      <c r="F202" s="6" t="s">
        <v>832</v>
      </c>
      <c r="G202" s="7">
        <v>9991356502</v>
      </c>
      <c r="H202" s="7" t="s">
        <v>833</v>
      </c>
      <c r="I202" s="5" t="s">
        <v>72</v>
      </c>
      <c r="J202" s="5" t="s">
        <v>300</v>
      </c>
      <c r="K202" s="5" t="s">
        <v>50</v>
      </c>
      <c r="L202" s="16" t="s">
        <v>62</v>
      </c>
      <c r="M202" s="4" t="s">
        <v>834</v>
      </c>
      <c r="N202" s="5" t="s">
        <v>835</v>
      </c>
      <c r="O202" s="5">
        <v>1</v>
      </c>
      <c r="P202" s="5">
        <v>0</v>
      </c>
      <c r="Q202" s="22">
        <f>_xlfn.XLOOKUP(H202, 'Anexo A'!$E$1:$E$77, 'Anexo A'!$I$1:$I$77, "", 0)</f>
        <v>45336</v>
      </c>
      <c r="R202" s="1"/>
      <c r="Y202" s="22"/>
    </row>
    <row r="203" spans="1:25" ht="54" x14ac:dyDescent="0.2">
      <c r="A203" s="4">
        <v>738</v>
      </c>
      <c r="B203" s="13" t="s">
        <v>16</v>
      </c>
      <c r="C203" s="5" t="s">
        <v>830</v>
      </c>
      <c r="D203" s="5" t="s">
        <v>831</v>
      </c>
      <c r="E203" s="5">
        <v>46</v>
      </c>
      <c r="F203" s="6" t="s">
        <v>832</v>
      </c>
      <c r="G203" s="7">
        <v>9991356502</v>
      </c>
      <c r="H203" s="7" t="s">
        <v>833</v>
      </c>
      <c r="I203" s="5" t="s">
        <v>57</v>
      </c>
      <c r="J203" s="5" t="s">
        <v>35</v>
      </c>
      <c r="K203" s="5" t="s">
        <v>836</v>
      </c>
      <c r="L203" s="16" t="s">
        <v>837</v>
      </c>
      <c r="M203" s="4" t="s">
        <v>838</v>
      </c>
      <c r="N203" s="5" t="s">
        <v>839</v>
      </c>
      <c r="O203" s="5">
        <v>0</v>
      </c>
      <c r="P203" s="5">
        <v>1</v>
      </c>
      <c r="Q203" s="22">
        <f>_xlfn.XLOOKUP(H203, 'Anexo A'!$E$1:$E$77, 'Anexo A'!$I$1:$I$77, "", 0)</f>
        <v>45336</v>
      </c>
      <c r="R203" s="1"/>
      <c r="Y203" s="22"/>
    </row>
    <row r="204" spans="1:25" ht="54" x14ac:dyDescent="0.2">
      <c r="A204" s="4">
        <v>738</v>
      </c>
      <c r="B204" s="13" t="s">
        <v>16</v>
      </c>
      <c r="C204" s="5" t="s">
        <v>830</v>
      </c>
      <c r="D204" s="5" t="s">
        <v>831</v>
      </c>
      <c r="E204" s="5">
        <v>46</v>
      </c>
      <c r="F204" s="6" t="s">
        <v>832</v>
      </c>
      <c r="G204" s="7">
        <v>9991356502</v>
      </c>
      <c r="H204" s="7" t="s">
        <v>833</v>
      </c>
      <c r="I204" s="5" t="s">
        <v>85</v>
      </c>
      <c r="J204" s="5">
        <v>12</v>
      </c>
      <c r="K204" s="5" t="s">
        <v>92</v>
      </c>
      <c r="L204" s="16" t="s">
        <v>106</v>
      </c>
      <c r="M204" s="4" t="s">
        <v>840</v>
      </c>
      <c r="N204" s="5" t="s">
        <v>841</v>
      </c>
      <c r="O204" s="5">
        <v>0</v>
      </c>
      <c r="P204" s="5">
        <v>1</v>
      </c>
      <c r="Q204" s="22">
        <f>_xlfn.XLOOKUP(H204, 'Anexo A'!$E$1:$E$77, 'Anexo A'!$I$1:$I$77, "", 0)</f>
        <v>45336</v>
      </c>
      <c r="R204" s="1"/>
      <c r="Y204" s="22"/>
    </row>
    <row r="205" spans="1:25" ht="54" x14ac:dyDescent="0.2">
      <c r="A205" s="4">
        <v>738</v>
      </c>
      <c r="B205" s="13" t="s">
        <v>16</v>
      </c>
      <c r="C205" s="5" t="s">
        <v>830</v>
      </c>
      <c r="D205" s="5" t="s">
        <v>831</v>
      </c>
      <c r="E205" s="5">
        <v>46</v>
      </c>
      <c r="F205" s="6" t="s">
        <v>832</v>
      </c>
      <c r="G205" s="7">
        <v>9991356502</v>
      </c>
      <c r="H205" s="7" t="s">
        <v>833</v>
      </c>
      <c r="I205" s="5" t="s">
        <v>85</v>
      </c>
      <c r="J205" s="5" t="s">
        <v>164</v>
      </c>
      <c r="K205" s="5" t="s">
        <v>424</v>
      </c>
      <c r="L205" s="16" t="s">
        <v>842</v>
      </c>
      <c r="M205" s="4" t="s">
        <v>843</v>
      </c>
      <c r="N205" s="5" t="s">
        <v>844</v>
      </c>
      <c r="O205" s="5">
        <v>0</v>
      </c>
      <c r="P205" s="5">
        <v>1</v>
      </c>
      <c r="Q205" s="22">
        <f>_xlfn.XLOOKUP(H205, 'Anexo A'!$E$1:$E$77, 'Anexo A'!$I$1:$I$77, "", 0)</f>
        <v>45336</v>
      </c>
      <c r="R205" s="1"/>
      <c r="Y205" s="22"/>
    </row>
    <row r="206" spans="1:25" ht="54" x14ac:dyDescent="0.2">
      <c r="A206" s="4">
        <v>738</v>
      </c>
      <c r="B206" s="13" t="s">
        <v>16</v>
      </c>
      <c r="C206" s="5" t="s">
        <v>830</v>
      </c>
      <c r="D206" s="5" t="s">
        <v>831</v>
      </c>
      <c r="E206" s="5">
        <v>46</v>
      </c>
      <c r="F206" s="6" t="s">
        <v>832</v>
      </c>
      <c r="G206" s="7">
        <v>9991356502</v>
      </c>
      <c r="H206" s="7" t="s">
        <v>833</v>
      </c>
      <c r="I206" s="5" t="s">
        <v>85</v>
      </c>
      <c r="J206" s="5" t="s">
        <v>164</v>
      </c>
      <c r="K206" s="5" t="s">
        <v>424</v>
      </c>
      <c r="L206" s="16" t="s">
        <v>845</v>
      </c>
      <c r="M206" s="4" t="s">
        <v>846</v>
      </c>
      <c r="N206" s="5" t="s">
        <v>847</v>
      </c>
      <c r="O206" s="5">
        <v>0</v>
      </c>
      <c r="P206" s="5">
        <v>1</v>
      </c>
      <c r="Q206" s="22">
        <f>_xlfn.XLOOKUP(H206, 'Anexo A'!$E$1:$E$77, 'Anexo A'!$I$1:$I$77, "", 0)</f>
        <v>45336</v>
      </c>
      <c r="R206" s="1"/>
      <c r="Y206" s="22"/>
    </row>
    <row r="207" spans="1:25" ht="54" x14ac:dyDescent="0.2">
      <c r="A207" s="4">
        <v>738</v>
      </c>
      <c r="B207" s="13" t="s">
        <v>16</v>
      </c>
      <c r="C207" s="5" t="s">
        <v>848</v>
      </c>
      <c r="D207" s="5" t="s">
        <v>849</v>
      </c>
      <c r="E207" s="5">
        <v>47</v>
      </c>
      <c r="F207" s="6" t="s">
        <v>850</v>
      </c>
      <c r="G207" s="7">
        <v>9991518266</v>
      </c>
      <c r="H207" s="7" t="s">
        <v>851</v>
      </c>
      <c r="I207" s="5" t="s">
        <v>852</v>
      </c>
      <c r="J207" s="5" t="s">
        <v>164</v>
      </c>
      <c r="K207" s="5" t="s">
        <v>86</v>
      </c>
      <c r="L207" s="16" t="s">
        <v>386</v>
      </c>
      <c r="M207" s="4" t="s">
        <v>853</v>
      </c>
      <c r="N207" s="5" t="s">
        <v>854</v>
      </c>
      <c r="O207" s="5">
        <v>0</v>
      </c>
      <c r="P207" s="5">
        <v>1</v>
      </c>
      <c r="Q207" s="22">
        <f>_xlfn.XLOOKUP(H207, 'Anexo A'!$E$1:$E$77, 'Anexo A'!$I$1:$I$77, "", 0)</f>
        <v>45346</v>
      </c>
      <c r="R207" s="1"/>
      <c r="Y207" s="22"/>
    </row>
    <row r="208" spans="1:25" ht="54" x14ac:dyDescent="0.2">
      <c r="A208" s="4">
        <v>738</v>
      </c>
      <c r="B208" s="13" t="s">
        <v>16</v>
      </c>
      <c r="C208" s="5" t="s">
        <v>848</v>
      </c>
      <c r="D208" s="5" t="s">
        <v>849</v>
      </c>
      <c r="E208" s="5">
        <v>47</v>
      </c>
      <c r="F208" s="6" t="s">
        <v>850</v>
      </c>
      <c r="G208" s="7">
        <v>9991518266</v>
      </c>
      <c r="H208" s="7" t="s">
        <v>851</v>
      </c>
      <c r="I208" s="5" t="s">
        <v>852</v>
      </c>
      <c r="J208" s="5" t="s">
        <v>119</v>
      </c>
      <c r="K208" s="5" t="s">
        <v>86</v>
      </c>
      <c r="L208" s="16" t="s">
        <v>855</v>
      </c>
      <c r="M208" s="4" t="s">
        <v>856</v>
      </c>
      <c r="N208" s="5" t="s">
        <v>857</v>
      </c>
      <c r="O208" s="5">
        <v>0</v>
      </c>
      <c r="P208" s="5">
        <v>1</v>
      </c>
      <c r="Q208" s="22">
        <f>_xlfn.XLOOKUP(H208, 'Anexo A'!$E$1:$E$77, 'Anexo A'!$I$1:$I$77, "", 0)</f>
        <v>45346</v>
      </c>
      <c r="R208" s="1"/>
      <c r="Y208" s="22"/>
    </row>
    <row r="209" spans="1:25" ht="54" x14ac:dyDescent="0.2">
      <c r="A209" s="4">
        <v>738</v>
      </c>
      <c r="B209" s="13" t="s">
        <v>16</v>
      </c>
      <c r="C209" s="5" t="s">
        <v>848</v>
      </c>
      <c r="D209" s="5" t="s">
        <v>849</v>
      </c>
      <c r="E209" s="5">
        <v>47</v>
      </c>
      <c r="F209" s="6" t="s">
        <v>850</v>
      </c>
      <c r="G209" s="7">
        <v>9991518266</v>
      </c>
      <c r="H209" s="7" t="s">
        <v>851</v>
      </c>
      <c r="I209" s="5" t="s">
        <v>21</v>
      </c>
      <c r="J209" s="5" t="s">
        <v>345</v>
      </c>
      <c r="K209" s="5" t="s">
        <v>363</v>
      </c>
      <c r="L209" s="16" t="s">
        <v>97</v>
      </c>
      <c r="M209" s="4" t="s">
        <v>858</v>
      </c>
      <c r="N209" s="5" t="s">
        <v>859</v>
      </c>
      <c r="O209" s="5">
        <v>1</v>
      </c>
      <c r="P209" s="5">
        <v>0</v>
      </c>
      <c r="Q209" s="22">
        <f>_xlfn.XLOOKUP(H209, 'Anexo A'!$E$1:$E$77, 'Anexo A'!$I$1:$I$77, "", 0)</f>
        <v>45346</v>
      </c>
      <c r="R209" s="1"/>
      <c r="Y209" s="22"/>
    </row>
    <row r="210" spans="1:25" ht="54" x14ac:dyDescent="0.2">
      <c r="A210" s="4">
        <v>738</v>
      </c>
      <c r="B210" s="13" t="s">
        <v>16</v>
      </c>
      <c r="C210" s="5" t="s">
        <v>860</v>
      </c>
      <c r="D210" s="5" t="s">
        <v>861</v>
      </c>
      <c r="E210" s="5">
        <v>48</v>
      </c>
      <c r="F210" s="6" t="s">
        <v>862</v>
      </c>
      <c r="G210" s="7">
        <v>9994912883</v>
      </c>
      <c r="H210" s="7" t="s">
        <v>863</v>
      </c>
      <c r="I210" s="5" t="s">
        <v>21</v>
      </c>
      <c r="J210" s="5" t="s">
        <v>218</v>
      </c>
      <c r="K210" s="5" t="s">
        <v>23</v>
      </c>
      <c r="L210" s="16" t="s">
        <v>24</v>
      </c>
      <c r="M210" s="4" t="s">
        <v>864</v>
      </c>
      <c r="N210" s="4" t="s">
        <v>865</v>
      </c>
      <c r="O210" s="5">
        <v>1</v>
      </c>
      <c r="P210" s="5">
        <v>0</v>
      </c>
      <c r="Q210" s="22">
        <f>_xlfn.XLOOKUP(H210, 'Anexo A'!$E$1:$E$77, 'Anexo A'!$I$1:$I$77, "", 0)</f>
        <v>45350</v>
      </c>
      <c r="R210" s="1"/>
      <c r="Y210" s="22"/>
    </row>
    <row r="211" spans="1:25" ht="54" x14ac:dyDescent="0.2">
      <c r="A211" s="4">
        <v>738</v>
      </c>
      <c r="B211" s="13" t="s">
        <v>16</v>
      </c>
      <c r="C211" s="5" t="s">
        <v>860</v>
      </c>
      <c r="D211" s="5" t="s">
        <v>861</v>
      </c>
      <c r="E211" s="5">
        <v>48</v>
      </c>
      <c r="F211" s="6" t="s">
        <v>862</v>
      </c>
      <c r="G211" s="7">
        <v>9994912883</v>
      </c>
      <c r="H211" s="7" t="s">
        <v>863</v>
      </c>
      <c r="I211" s="5" t="s">
        <v>21</v>
      </c>
      <c r="J211" s="5" t="s">
        <v>218</v>
      </c>
      <c r="K211" s="5" t="s">
        <v>23</v>
      </c>
      <c r="L211" s="16" t="s">
        <v>24</v>
      </c>
      <c r="M211" s="4" t="s">
        <v>866</v>
      </c>
      <c r="N211" s="4" t="s">
        <v>867</v>
      </c>
      <c r="O211" s="5">
        <v>1</v>
      </c>
      <c r="P211" s="11">
        <v>0</v>
      </c>
      <c r="Q211" s="22">
        <f>_xlfn.XLOOKUP(H211, 'Anexo A'!$E$1:$E$77, 'Anexo A'!$I$1:$I$77, "", 0)</f>
        <v>45350</v>
      </c>
      <c r="R211" s="1"/>
      <c r="Y211" s="22"/>
    </row>
    <row r="212" spans="1:25" ht="54" x14ac:dyDescent="0.2">
      <c r="A212" s="4">
        <v>738</v>
      </c>
      <c r="B212" s="13" t="s">
        <v>16</v>
      </c>
      <c r="C212" s="5" t="s">
        <v>860</v>
      </c>
      <c r="D212" s="5" t="s">
        <v>861</v>
      </c>
      <c r="E212" s="5">
        <v>48</v>
      </c>
      <c r="F212" s="6" t="s">
        <v>862</v>
      </c>
      <c r="G212" s="7">
        <v>9994912883</v>
      </c>
      <c r="H212" s="7" t="s">
        <v>863</v>
      </c>
      <c r="I212" s="5" t="s">
        <v>21</v>
      </c>
      <c r="J212" s="5" t="s">
        <v>218</v>
      </c>
      <c r="K212" s="5" t="s">
        <v>23</v>
      </c>
      <c r="L212" s="16" t="s">
        <v>564</v>
      </c>
      <c r="M212" s="4" t="s">
        <v>868</v>
      </c>
      <c r="N212" s="4" t="s">
        <v>869</v>
      </c>
      <c r="O212" s="5">
        <v>1</v>
      </c>
      <c r="P212" s="11">
        <v>0</v>
      </c>
      <c r="Q212" s="22">
        <f>_xlfn.XLOOKUP(H212, 'Anexo A'!$E$1:$E$77, 'Anexo A'!$I$1:$I$77, "", 0)</f>
        <v>45350</v>
      </c>
      <c r="R212" s="1"/>
      <c r="Y212" s="22"/>
    </row>
    <row r="213" spans="1:25" ht="72" x14ac:dyDescent="0.2">
      <c r="A213" s="4">
        <v>738</v>
      </c>
      <c r="B213" s="13" t="s">
        <v>16</v>
      </c>
      <c r="C213" s="5" t="s">
        <v>870</v>
      </c>
      <c r="D213" s="5" t="s">
        <v>871</v>
      </c>
      <c r="E213" s="5">
        <v>49</v>
      </c>
      <c r="F213" s="6" t="s">
        <v>872</v>
      </c>
      <c r="G213" s="7">
        <v>9901011913</v>
      </c>
      <c r="H213" s="7" t="s">
        <v>873</v>
      </c>
      <c r="I213" s="5" t="s">
        <v>21</v>
      </c>
      <c r="J213" s="5" t="s">
        <v>218</v>
      </c>
      <c r="K213" s="5" t="s">
        <v>23</v>
      </c>
      <c r="L213" s="16" t="s">
        <v>24</v>
      </c>
      <c r="M213" s="4" t="s">
        <v>874</v>
      </c>
      <c r="N213" s="5" t="s">
        <v>875</v>
      </c>
      <c r="O213" s="5">
        <v>1</v>
      </c>
      <c r="P213" s="5">
        <v>0</v>
      </c>
      <c r="Q213" s="22">
        <f>_xlfn.XLOOKUP(H213, 'Anexo A'!$E$1:$E$77, 'Anexo A'!$I$1:$I$77, "", 0)</f>
        <v>45413</v>
      </c>
      <c r="R213" s="1"/>
      <c r="Y213" s="22"/>
    </row>
    <row r="214" spans="1:25" ht="72" x14ac:dyDescent="0.2">
      <c r="A214" s="4">
        <v>738</v>
      </c>
      <c r="B214" s="13" t="s">
        <v>16</v>
      </c>
      <c r="C214" s="5" t="s">
        <v>870</v>
      </c>
      <c r="D214" s="5" t="s">
        <v>871</v>
      </c>
      <c r="E214" s="5">
        <v>49</v>
      </c>
      <c r="F214" s="6" t="s">
        <v>872</v>
      </c>
      <c r="G214" s="7">
        <v>9901011913</v>
      </c>
      <c r="H214" s="7" t="s">
        <v>873</v>
      </c>
      <c r="I214" s="5" t="s">
        <v>57</v>
      </c>
      <c r="J214" s="5" t="s">
        <v>345</v>
      </c>
      <c r="K214" s="5" t="s">
        <v>140</v>
      </c>
      <c r="L214" s="16" t="s">
        <v>876</v>
      </c>
      <c r="M214" s="4" t="s">
        <v>877</v>
      </c>
      <c r="N214" s="5" t="s">
        <v>878</v>
      </c>
      <c r="O214" s="5">
        <v>0</v>
      </c>
      <c r="P214" s="5">
        <v>1</v>
      </c>
      <c r="Q214" s="22">
        <f>_xlfn.XLOOKUP(H214, 'Anexo A'!$E$1:$E$77, 'Anexo A'!$I$1:$I$77, "", 0)</f>
        <v>45413</v>
      </c>
      <c r="R214" s="1"/>
      <c r="Y214" s="22"/>
    </row>
    <row r="215" spans="1:25" ht="54" x14ac:dyDescent="0.2">
      <c r="A215" s="4">
        <v>738</v>
      </c>
      <c r="B215" s="13" t="s">
        <v>16</v>
      </c>
      <c r="C215" s="5" t="s">
        <v>879</v>
      </c>
      <c r="D215" s="5" t="s">
        <v>880</v>
      </c>
      <c r="E215" s="5">
        <v>50</v>
      </c>
      <c r="F215" s="6" t="s">
        <v>881</v>
      </c>
      <c r="G215" s="7">
        <v>9991450399</v>
      </c>
      <c r="H215" s="7" t="s">
        <v>882</v>
      </c>
      <c r="I215" s="5"/>
      <c r="J215" s="5"/>
      <c r="K215" s="5"/>
      <c r="L215" s="16"/>
      <c r="M215" s="4"/>
      <c r="N215" s="5"/>
      <c r="O215" s="5">
        <v>0</v>
      </c>
      <c r="P215" s="5">
        <v>0</v>
      </c>
      <c r="Q215" s="22">
        <f>_xlfn.XLOOKUP(H215, 'Anexo A'!$E$1:$E$77, 'Anexo A'!$I$1:$I$77, "", 0)</f>
        <v>45413</v>
      </c>
      <c r="R215" s="1"/>
      <c r="Y215" s="22"/>
    </row>
    <row r="216" spans="1:25" ht="72" x14ac:dyDescent="0.2">
      <c r="A216" s="4">
        <v>738</v>
      </c>
      <c r="B216" s="5" t="s">
        <v>16</v>
      </c>
      <c r="C216" s="5" t="s">
        <v>883</v>
      </c>
      <c r="D216" s="5" t="s">
        <v>884</v>
      </c>
      <c r="E216" s="5">
        <v>51</v>
      </c>
      <c r="F216" s="6" t="s">
        <v>885</v>
      </c>
      <c r="G216" s="7">
        <v>5543900616</v>
      </c>
      <c r="H216" s="7" t="s">
        <v>886</v>
      </c>
      <c r="I216" s="5" t="s">
        <v>887</v>
      </c>
      <c r="J216" s="5" t="s">
        <v>888</v>
      </c>
      <c r="K216" s="5" t="s">
        <v>92</v>
      </c>
      <c r="L216" s="9" t="s">
        <v>889</v>
      </c>
      <c r="M216" s="5">
        <v>373343</v>
      </c>
      <c r="N216" s="5" t="s">
        <v>890</v>
      </c>
      <c r="O216" s="5">
        <v>0</v>
      </c>
      <c r="P216" s="5">
        <v>1</v>
      </c>
      <c r="Q216" s="22">
        <f>_xlfn.XLOOKUP(H216, 'Anexo A'!$E$1:$E$77, 'Anexo A'!$I$1:$I$77, "", 0)</f>
        <v>45439</v>
      </c>
      <c r="R216" s="1"/>
      <c r="Y216" s="22"/>
    </row>
    <row r="217" spans="1:25" ht="72" x14ac:dyDescent="0.2">
      <c r="A217" s="4">
        <v>738</v>
      </c>
      <c r="B217" s="5" t="s">
        <v>16</v>
      </c>
      <c r="C217" s="5" t="s">
        <v>883</v>
      </c>
      <c r="D217" s="5" t="s">
        <v>884</v>
      </c>
      <c r="E217" s="5">
        <v>51</v>
      </c>
      <c r="F217" s="6" t="s">
        <v>885</v>
      </c>
      <c r="G217" s="7">
        <v>5543900616</v>
      </c>
      <c r="H217" s="7" t="s">
        <v>886</v>
      </c>
      <c r="I217" s="5" t="s">
        <v>21</v>
      </c>
      <c r="J217" s="5" t="s">
        <v>35</v>
      </c>
      <c r="K217" s="5" t="s">
        <v>233</v>
      </c>
      <c r="L217" s="9" t="s">
        <v>891</v>
      </c>
      <c r="M217" s="5" t="s">
        <v>892</v>
      </c>
      <c r="N217" s="5" t="s">
        <v>893</v>
      </c>
      <c r="O217" s="5">
        <v>1</v>
      </c>
      <c r="P217" s="5">
        <v>0</v>
      </c>
      <c r="Q217" s="22">
        <f>_xlfn.XLOOKUP(H217, 'Anexo A'!$E$1:$E$77, 'Anexo A'!$I$1:$I$77, "", 0)</f>
        <v>45439</v>
      </c>
      <c r="R217" s="1"/>
      <c r="Y217" s="22"/>
    </row>
    <row r="218" spans="1:25" ht="72" x14ac:dyDescent="0.2">
      <c r="A218" s="4">
        <v>738</v>
      </c>
      <c r="B218" s="5" t="s">
        <v>16</v>
      </c>
      <c r="C218" s="5" t="s">
        <v>883</v>
      </c>
      <c r="D218" s="5" t="s">
        <v>884</v>
      </c>
      <c r="E218" s="5">
        <v>51</v>
      </c>
      <c r="F218" s="6" t="s">
        <v>885</v>
      </c>
      <c r="G218" s="7">
        <v>5543900616</v>
      </c>
      <c r="H218" s="7" t="s">
        <v>886</v>
      </c>
      <c r="I218" s="5" t="s">
        <v>894</v>
      </c>
      <c r="J218" s="5" t="s">
        <v>35</v>
      </c>
      <c r="K218" s="5" t="s">
        <v>154</v>
      </c>
      <c r="L218" s="9" t="s">
        <v>895</v>
      </c>
      <c r="M218" s="5" t="s">
        <v>896</v>
      </c>
      <c r="N218" s="5" t="s">
        <v>897</v>
      </c>
      <c r="O218" s="5">
        <v>0</v>
      </c>
      <c r="P218" s="5">
        <v>1</v>
      </c>
      <c r="Q218" s="22">
        <f>_xlfn.XLOOKUP(H218, 'Anexo A'!$E$1:$E$77, 'Anexo A'!$I$1:$I$77, "", 0)</f>
        <v>45439</v>
      </c>
      <c r="R218" s="1"/>
      <c r="Y218" s="22"/>
    </row>
    <row r="219" spans="1:25" ht="72" x14ac:dyDescent="0.2">
      <c r="A219" s="4">
        <v>738</v>
      </c>
      <c r="B219" s="5" t="s">
        <v>16</v>
      </c>
      <c r="C219" s="5" t="s">
        <v>883</v>
      </c>
      <c r="D219" s="5" t="s">
        <v>884</v>
      </c>
      <c r="E219" s="5">
        <v>51</v>
      </c>
      <c r="F219" s="6" t="s">
        <v>885</v>
      </c>
      <c r="G219" s="7">
        <v>5543900616</v>
      </c>
      <c r="H219" s="7" t="s">
        <v>886</v>
      </c>
      <c r="I219" s="5" t="s">
        <v>898</v>
      </c>
      <c r="J219" s="5" t="s">
        <v>659</v>
      </c>
      <c r="K219" s="5" t="s">
        <v>222</v>
      </c>
      <c r="L219" s="9" t="s">
        <v>899</v>
      </c>
      <c r="M219" s="5">
        <v>92070</v>
      </c>
      <c r="N219" s="5" t="s">
        <v>900</v>
      </c>
      <c r="O219" s="5">
        <v>0</v>
      </c>
      <c r="P219" s="5">
        <v>1</v>
      </c>
      <c r="Q219" s="22">
        <f>_xlfn.XLOOKUP(H219, 'Anexo A'!$E$1:$E$77, 'Anexo A'!$I$1:$I$77, "", 0)</f>
        <v>45439</v>
      </c>
      <c r="R219" s="1"/>
      <c r="Y219" s="22"/>
    </row>
    <row r="220" spans="1:25" ht="72" x14ac:dyDescent="0.2">
      <c r="A220" s="4">
        <v>738</v>
      </c>
      <c r="B220" s="5" t="s">
        <v>16</v>
      </c>
      <c r="C220" s="5" t="s">
        <v>883</v>
      </c>
      <c r="D220" s="5" t="s">
        <v>884</v>
      </c>
      <c r="E220" s="5">
        <v>51</v>
      </c>
      <c r="F220" s="6" t="s">
        <v>885</v>
      </c>
      <c r="G220" s="7">
        <v>5543900616</v>
      </c>
      <c r="H220" s="7" t="s">
        <v>886</v>
      </c>
      <c r="I220" s="5" t="s">
        <v>887</v>
      </c>
      <c r="J220" s="5" t="s">
        <v>901</v>
      </c>
      <c r="K220" s="5" t="s">
        <v>193</v>
      </c>
      <c r="L220" s="9" t="s">
        <v>313</v>
      </c>
      <c r="M220" s="5" t="s">
        <v>902</v>
      </c>
      <c r="N220" s="5" t="s">
        <v>903</v>
      </c>
      <c r="O220" s="5">
        <v>0</v>
      </c>
      <c r="P220" s="5">
        <v>1</v>
      </c>
      <c r="Q220" s="22">
        <f>_xlfn.XLOOKUP(H220, 'Anexo A'!$E$1:$E$77, 'Anexo A'!$I$1:$I$77, "", 0)</f>
        <v>45439</v>
      </c>
      <c r="R220" s="1"/>
      <c r="Y220" s="22"/>
    </row>
    <row r="221" spans="1:25" ht="54" x14ac:dyDescent="0.2">
      <c r="A221" s="4">
        <v>738</v>
      </c>
      <c r="B221" s="13" t="s">
        <v>16</v>
      </c>
      <c r="C221" s="5" t="s">
        <v>904</v>
      </c>
      <c r="D221" s="5" t="s">
        <v>905</v>
      </c>
      <c r="E221" s="5">
        <v>52</v>
      </c>
      <c r="F221" s="6" t="s">
        <v>906</v>
      </c>
      <c r="G221" s="7">
        <v>9993359825</v>
      </c>
      <c r="H221" s="7" t="s">
        <v>907</v>
      </c>
      <c r="I221" s="4" t="s">
        <v>85</v>
      </c>
      <c r="J221" s="4" t="s">
        <v>164</v>
      </c>
      <c r="K221" s="5" t="s">
        <v>382</v>
      </c>
      <c r="L221" s="4" t="s">
        <v>908</v>
      </c>
      <c r="M221" s="5" t="s">
        <v>909</v>
      </c>
      <c r="N221" s="5" t="s">
        <v>910</v>
      </c>
      <c r="O221" s="5">
        <v>0</v>
      </c>
      <c r="P221" s="5">
        <v>1</v>
      </c>
      <c r="Q221" s="22">
        <f>_xlfn.XLOOKUP(H221, 'Anexo A'!$E$1:$E$77, 'Anexo A'!$I$1:$I$77, "", 0)</f>
        <v>45439</v>
      </c>
      <c r="R221" s="1"/>
      <c r="Y221" s="22"/>
    </row>
    <row r="222" spans="1:25" ht="54" x14ac:dyDescent="0.2">
      <c r="A222" s="4">
        <v>738</v>
      </c>
      <c r="B222" s="13" t="s">
        <v>16</v>
      </c>
      <c r="C222" s="5" t="s">
        <v>904</v>
      </c>
      <c r="D222" s="5" t="s">
        <v>905</v>
      </c>
      <c r="E222" s="5">
        <v>52</v>
      </c>
      <c r="F222" s="6" t="s">
        <v>906</v>
      </c>
      <c r="G222" s="7">
        <v>9993359825</v>
      </c>
      <c r="H222" s="7" t="s">
        <v>907</v>
      </c>
      <c r="I222" s="4" t="s">
        <v>85</v>
      </c>
      <c r="J222" s="4" t="s">
        <v>164</v>
      </c>
      <c r="K222" s="5" t="s">
        <v>110</v>
      </c>
      <c r="L222" s="4" t="s">
        <v>595</v>
      </c>
      <c r="M222" s="5" t="s">
        <v>911</v>
      </c>
      <c r="N222" s="5" t="s">
        <v>912</v>
      </c>
      <c r="O222" s="5">
        <v>0</v>
      </c>
      <c r="P222" s="5">
        <v>1</v>
      </c>
      <c r="Q222" s="22">
        <f>_xlfn.XLOOKUP(H222, 'Anexo A'!$E$1:$E$77, 'Anexo A'!$I$1:$I$77, "", 0)</f>
        <v>45439</v>
      </c>
      <c r="R222" s="1"/>
      <c r="Y222" s="22"/>
    </row>
    <row r="223" spans="1:25" ht="54" x14ac:dyDescent="0.2">
      <c r="A223" s="4">
        <v>738</v>
      </c>
      <c r="B223" s="13" t="s">
        <v>16</v>
      </c>
      <c r="C223" s="5" t="s">
        <v>904</v>
      </c>
      <c r="D223" s="5" t="s">
        <v>905</v>
      </c>
      <c r="E223" s="5">
        <v>52</v>
      </c>
      <c r="F223" s="6" t="s">
        <v>906</v>
      </c>
      <c r="G223" s="7">
        <v>9993359825</v>
      </c>
      <c r="H223" s="7" t="s">
        <v>907</v>
      </c>
      <c r="I223" s="4" t="s">
        <v>85</v>
      </c>
      <c r="J223" s="4" t="s">
        <v>164</v>
      </c>
      <c r="K223" s="5" t="s">
        <v>110</v>
      </c>
      <c r="L223" s="4" t="s">
        <v>277</v>
      </c>
      <c r="M223" s="5" t="s">
        <v>913</v>
      </c>
      <c r="N223" s="5" t="s">
        <v>914</v>
      </c>
      <c r="O223" s="5">
        <v>0</v>
      </c>
      <c r="P223" s="5">
        <v>1</v>
      </c>
      <c r="Q223" s="22">
        <f>_xlfn.XLOOKUP(H223, 'Anexo A'!$E$1:$E$77, 'Anexo A'!$I$1:$I$77, "", 0)</f>
        <v>45439</v>
      </c>
      <c r="R223" s="1"/>
      <c r="Y223" s="22"/>
    </row>
    <row r="224" spans="1:25" ht="54" x14ac:dyDescent="0.2">
      <c r="A224" s="4">
        <v>738</v>
      </c>
      <c r="B224" s="13" t="s">
        <v>16</v>
      </c>
      <c r="C224" s="5" t="s">
        <v>904</v>
      </c>
      <c r="D224" s="5" t="s">
        <v>905</v>
      </c>
      <c r="E224" s="5">
        <v>52</v>
      </c>
      <c r="F224" s="6" t="s">
        <v>906</v>
      </c>
      <c r="G224" s="7">
        <v>9993359825</v>
      </c>
      <c r="H224" s="7" t="s">
        <v>907</v>
      </c>
      <c r="I224" s="4" t="s">
        <v>85</v>
      </c>
      <c r="J224" s="4" t="s">
        <v>164</v>
      </c>
      <c r="K224" s="5" t="s">
        <v>110</v>
      </c>
      <c r="L224" s="4" t="s">
        <v>915</v>
      </c>
      <c r="M224" s="5" t="s">
        <v>916</v>
      </c>
      <c r="N224" s="5" t="s">
        <v>917</v>
      </c>
      <c r="O224" s="5">
        <v>0</v>
      </c>
      <c r="P224" s="5">
        <v>1</v>
      </c>
      <c r="Q224" s="22">
        <f>_xlfn.XLOOKUP(H224, 'Anexo A'!$E$1:$E$77, 'Anexo A'!$I$1:$I$77, "", 0)</f>
        <v>45439</v>
      </c>
      <c r="R224" s="1"/>
      <c r="Y224" s="22"/>
    </row>
    <row r="225" spans="1:25" ht="54" x14ac:dyDescent="0.2">
      <c r="A225" s="4">
        <v>738</v>
      </c>
      <c r="B225" s="13" t="s">
        <v>16</v>
      </c>
      <c r="C225" s="5" t="s">
        <v>904</v>
      </c>
      <c r="D225" s="5" t="s">
        <v>905</v>
      </c>
      <c r="E225" s="5">
        <v>52</v>
      </c>
      <c r="F225" s="6" t="s">
        <v>906</v>
      </c>
      <c r="G225" s="7">
        <v>9993359825</v>
      </c>
      <c r="H225" s="7" t="s">
        <v>907</v>
      </c>
      <c r="I225" s="4" t="s">
        <v>85</v>
      </c>
      <c r="J225" s="4" t="s">
        <v>119</v>
      </c>
      <c r="K225" s="5" t="s">
        <v>110</v>
      </c>
      <c r="L225" s="4" t="s">
        <v>918</v>
      </c>
      <c r="M225" s="5" t="s">
        <v>919</v>
      </c>
      <c r="N225" s="5" t="s">
        <v>920</v>
      </c>
      <c r="O225" s="5">
        <v>0</v>
      </c>
      <c r="P225" s="5">
        <v>1</v>
      </c>
      <c r="Q225" s="22">
        <f>_xlfn.XLOOKUP(H225, 'Anexo A'!$E$1:$E$77, 'Anexo A'!$I$1:$I$77, "", 0)</f>
        <v>45439</v>
      </c>
      <c r="R225" s="1"/>
      <c r="Y225" s="22"/>
    </row>
    <row r="226" spans="1:25" ht="54" x14ac:dyDescent="0.2">
      <c r="A226" s="4">
        <v>738</v>
      </c>
      <c r="B226" s="13" t="s">
        <v>16</v>
      </c>
      <c r="C226" s="5" t="s">
        <v>904</v>
      </c>
      <c r="D226" s="5" t="s">
        <v>905</v>
      </c>
      <c r="E226" s="5">
        <v>52</v>
      </c>
      <c r="F226" s="6" t="s">
        <v>906</v>
      </c>
      <c r="G226" s="7">
        <v>9993359825</v>
      </c>
      <c r="H226" s="7" t="s">
        <v>907</v>
      </c>
      <c r="I226" s="4" t="s">
        <v>21</v>
      </c>
      <c r="J226" s="4" t="s">
        <v>49</v>
      </c>
      <c r="K226" s="5" t="s">
        <v>233</v>
      </c>
      <c r="L226" s="4" t="s">
        <v>921</v>
      </c>
      <c r="M226" s="5" t="s">
        <v>922</v>
      </c>
      <c r="N226" s="5" t="s">
        <v>923</v>
      </c>
      <c r="O226" s="5">
        <v>1</v>
      </c>
      <c r="P226" s="5">
        <v>0</v>
      </c>
      <c r="Q226" s="22">
        <f>_xlfn.XLOOKUP(H226, 'Anexo A'!$E$1:$E$77, 'Anexo A'!$I$1:$I$77, "", 0)</f>
        <v>45439</v>
      </c>
      <c r="R226" s="1"/>
      <c r="Y226" s="22"/>
    </row>
    <row r="227" spans="1:25" ht="54" x14ac:dyDescent="0.2">
      <c r="A227" s="4">
        <v>738</v>
      </c>
      <c r="B227" s="13" t="s">
        <v>16</v>
      </c>
      <c r="C227" s="5" t="s">
        <v>924</v>
      </c>
      <c r="D227" s="5" t="s">
        <v>925</v>
      </c>
      <c r="E227" s="5">
        <v>53</v>
      </c>
      <c r="F227" s="6" t="s">
        <v>926</v>
      </c>
      <c r="G227" s="7">
        <v>9995328570</v>
      </c>
      <c r="H227" s="7" t="s">
        <v>927</v>
      </c>
      <c r="I227" s="4" t="s">
        <v>21</v>
      </c>
      <c r="J227" s="4" t="s">
        <v>49</v>
      </c>
      <c r="K227" s="5" t="s">
        <v>749</v>
      </c>
      <c r="L227" s="4" t="s">
        <v>97</v>
      </c>
      <c r="M227" s="5">
        <v>808223</v>
      </c>
      <c r="N227" s="5" t="s">
        <v>928</v>
      </c>
      <c r="O227" s="5">
        <v>1</v>
      </c>
      <c r="P227" s="5">
        <v>0</v>
      </c>
      <c r="Q227" s="22">
        <f>_xlfn.XLOOKUP(H227, 'Anexo A'!$E$1:$E$77, 'Anexo A'!$I$1:$I$77, "", 0)</f>
        <v>45439</v>
      </c>
      <c r="R227" s="1"/>
      <c r="Y227" s="22"/>
    </row>
    <row r="228" spans="1:25" ht="54" x14ac:dyDescent="0.2">
      <c r="A228" s="4">
        <v>738</v>
      </c>
      <c r="B228" s="13" t="s">
        <v>16</v>
      </c>
      <c r="C228" s="5" t="s">
        <v>924</v>
      </c>
      <c r="D228" s="5" t="s">
        <v>925</v>
      </c>
      <c r="E228" s="5">
        <v>53</v>
      </c>
      <c r="F228" s="6" t="s">
        <v>926</v>
      </c>
      <c r="G228" s="7">
        <v>9995328570</v>
      </c>
      <c r="H228" s="7" t="s">
        <v>927</v>
      </c>
      <c r="I228" s="4" t="s">
        <v>85</v>
      </c>
      <c r="J228" s="4" t="s">
        <v>164</v>
      </c>
      <c r="K228" s="5" t="s">
        <v>154</v>
      </c>
      <c r="L228" s="4" t="s">
        <v>929</v>
      </c>
      <c r="M228" s="5" t="s">
        <v>930</v>
      </c>
      <c r="N228" s="5" t="s">
        <v>931</v>
      </c>
      <c r="O228" s="5">
        <v>0</v>
      </c>
      <c r="P228" s="5">
        <v>1</v>
      </c>
      <c r="Q228" s="22">
        <f>_xlfn.XLOOKUP(H228, 'Anexo A'!$E$1:$E$77, 'Anexo A'!$I$1:$I$77, "", 0)</f>
        <v>45439</v>
      </c>
      <c r="R228" s="1"/>
      <c r="Y228" s="22"/>
    </row>
    <row r="229" spans="1:25" ht="54" x14ac:dyDescent="0.2">
      <c r="A229" s="4">
        <v>738</v>
      </c>
      <c r="B229" s="13" t="s">
        <v>16</v>
      </c>
      <c r="C229" s="5" t="s">
        <v>924</v>
      </c>
      <c r="D229" s="5" t="s">
        <v>925</v>
      </c>
      <c r="E229" s="5">
        <v>53</v>
      </c>
      <c r="F229" s="6" t="s">
        <v>926</v>
      </c>
      <c r="G229" s="7">
        <v>9995328570</v>
      </c>
      <c r="H229" s="7" t="s">
        <v>927</v>
      </c>
      <c r="I229" s="5" t="s">
        <v>898</v>
      </c>
      <c r="J229" s="5" t="s">
        <v>164</v>
      </c>
      <c r="K229" s="5" t="s">
        <v>110</v>
      </c>
      <c r="L229" s="9" t="s">
        <v>133</v>
      </c>
      <c r="M229" s="5" t="s">
        <v>932</v>
      </c>
      <c r="N229" s="5" t="s">
        <v>933</v>
      </c>
      <c r="O229" s="5">
        <v>0</v>
      </c>
      <c r="P229" s="5">
        <v>1</v>
      </c>
      <c r="Q229" s="22">
        <f>_xlfn.XLOOKUP(H229, 'Anexo A'!$E$1:$E$77, 'Anexo A'!$I$1:$I$77, "", 0)</f>
        <v>45439</v>
      </c>
      <c r="R229" s="1"/>
      <c r="Y229" s="22"/>
    </row>
    <row r="230" spans="1:25" ht="54" x14ac:dyDescent="0.2">
      <c r="A230" s="4">
        <v>738</v>
      </c>
      <c r="B230" s="13" t="s">
        <v>16</v>
      </c>
      <c r="C230" s="5" t="s">
        <v>934</v>
      </c>
      <c r="D230" s="5" t="s">
        <v>935</v>
      </c>
      <c r="E230" s="5">
        <v>54</v>
      </c>
      <c r="F230" s="6" t="s">
        <v>936</v>
      </c>
      <c r="G230" s="7">
        <v>5530565722</v>
      </c>
      <c r="H230" s="7" t="s">
        <v>937</v>
      </c>
      <c r="I230" s="5"/>
      <c r="J230" s="5"/>
      <c r="K230" s="5"/>
      <c r="L230" s="9"/>
      <c r="M230" s="5"/>
      <c r="N230" s="5"/>
      <c r="O230" s="5">
        <v>0</v>
      </c>
      <c r="P230" s="5">
        <v>0</v>
      </c>
      <c r="Q230" s="22">
        <f>_xlfn.XLOOKUP(H230, 'Anexo A'!$E$1:$E$77, 'Anexo A'!$I$1:$I$77, "", 0)</f>
        <v>45471</v>
      </c>
      <c r="R230" s="1"/>
      <c r="Y230" s="22"/>
    </row>
    <row r="231" spans="1:25" ht="72" x14ac:dyDescent="0.2">
      <c r="A231" s="4">
        <v>738</v>
      </c>
      <c r="B231" s="13" t="s">
        <v>16</v>
      </c>
      <c r="C231" s="5" t="s">
        <v>938</v>
      </c>
      <c r="D231" s="5" t="s">
        <v>939</v>
      </c>
      <c r="E231" s="5">
        <v>55</v>
      </c>
      <c r="F231" s="6" t="s">
        <v>940</v>
      </c>
      <c r="G231" s="7">
        <v>9811204947</v>
      </c>
      <c r="H231" s="7" t="s">
        <v>941</v>
      </c>
      <c r="I231" s="5" t="s">
        <v>21</v>
      </c>
      <c r="J231" s="5" t="s">
        <v>942</v>
      </c>
      <c r="K231" s="5" t="s">
        <v>780</v>
      </c>
      <c r="L231" s="5" t="s">
        <v>943</v>
      </c>
      <c r="M231" s="5" t="s">
        <v>944</v>
      </c>
      <c r="N231" s="5" t="s">
        <v>945</v>
      </c>
      <c r="O231" s="5">
        <v>1</v>
      </c>
      <c r="P231" s="5">
        <v>0</v>
      </c>
      <c r="Q231" s="22">
        <f>_xlfn.XLOOKUP(H231, 'Anexo A'!$E$1:$E$77, 'Anexo A'!$I$1:$I$77, "", 0)</f>
        <v>45497</v>
      </c>
      <c r="R231" s="1"/>
      <c r="Y231" s="22"/>
    </row>
    <row r="232" spans="1:25" ht="54" x14ac:dyDescent="0.2">
      <c r="A232" s="4">
        <v>738</v>
      </c>
      <c r="B232" s="13" t="s">
        <v>16</v>
      </c>
      <c r="C232" s="5" t="s">
        <v>946</v>
      </c>
      <c r="D232" s="5" t="s">
        <v>947</v>
      </c>
      <c r="E232" s="5">
        <v>56</v>
      </c>
      <c r="F232" s="6" t="s">
        <v>948</v>
      </c>
      <c r="G232" s="7">
        <v>9993940909</v>
      </c>
      <c r="H232" s="7" t="s">
        <v>949</v>
      </c>
      <c r="I232" s="5" t="s">
        <v>21</v>
      </c>
      <c r="J232" s="5" t="s">
        <v>218</v>
      </c>
      <c r="K232" s="5" t="s">
        <v>23</v>
      </c>
      <c r="L232" s="16" t="s">
        <v>24</v>
      </c>
      <c r="M232" s="4" t="s">
        <v>950</v>
      </c>
      <c r="N232" s="5" t="s">
        <v>951</v>
      </c>
      <c r="O232" s="5">
        <v>1</v>
      </c>
      <c r="P232" s="5">
        <v>0</v>
      </c>
      <c r="Q232" s="22">
        <f>_xlfn.XLOOKUP(H232, 'Anexo A'!$E$1:$E$77, 'Anexo A'!$I$1:$I$77, "", 0)</f>
        <v>45497</v>
      </c>
      <c r="R232" s="1"/>
      <c r="Y232" s="22"/>
    </row>
    <row r="233" spans="1:25" ht="54" x14ac:dyDescent="0.2">
      <c r="A233" s="4">
        <v>738</v>
      </c>
      <c r="B233" s="13" t="s">
        <v>16</v>
      </c>
      <c r="C233" s="5" t="s">
        <v>946</v>
      </c>
      <c r="D233" s="5" t="s">
        <v>947</v>
      </c>
      <c r="E233" s="5">
        <v>56</v>
      </c>
      <c r="F233" s="6" t="s">
        <v>948</v>
      </c>
      <c r="G233" s="7">
        <v>9993940909</v>
      </c>
      <c r="H233" s="7" t="s">
        <v>949</v>
      </c>
      <c r="I233" s="5" t="s">
        <v>21</v>
      </c>
      <c r="J233" s="5" t="s">
        <v>218</v>
      </c>
      <c r="K233" s="5" t="s">
        <v>23</v>
      </c>
      <c r="L233" s="16" t="s">
        <v>952</v>
      </c>
      <c r="M233" s="4" t="s">
        <v>953</v>
      </c>
      <c r="N233" s="5" t="s">
        <v>954</v>
      </c>
      <c r="O233" s="5">
        <v>1</v>
      </c>
      <c r="P233" s="5">
        <v>0</v>
      </c>
      <c r="Q233" s="22">
        <f>_xlfn.XLOOKUP(H233, 'Anexo A'!$E$1:$E$77, 'Anexo A'!$I$1:$I$77, "", 0)</f>
        <v>45497</v>
      </c>
      <c r="R233" s="1"/>
      <c r="Y233" s="22"/>
    </row>
    <row r="234" spans="1:25" ht="54" x14ac:dyDescent="0.2">
      <c r="A234" s="4">
        <v>738</v>
      </c>
      <c r="B234" s="13" t="s">
        <v>16</v>
      </c>
      <c r="C234" s="5" t="s">
        <v>946</v>
      </c>
      <c r="D234" s="5" t="s">
        <v>947</v>
      </c>
      <c r="E234" s="5">
        <v>56</v>
      </c>
      <c r="F234" s="6" t="s">
        <v>948</v>
      </c>
      <c r="G234" s="7">
        <v>9993940909</v>
      </c>
      <c r="H234" s="7" t="s">
        <v>949</v>
      </c>
      <c r="I234" s="5" t="s">
        <v>21</v>
      </c>
      <c r="J234" s="5" t="s">
        <v>955</v>
      </c>
      <c r="K234" s="5" t="s">
        <v>363</v>
      </c>
      <c r="L234" s="16" t="s">
        <v>718</v>
      </c>
      <c r="M234" s="4" t="s">
        <v>956</v>
      </c>
      <c r="N234" s="5" t="s">
        <v>957</v>
      </c>
      <c r="O234" s="5">
        <v>1</v>
      </c>
      <c r="P234" s="5">
        <v>0</v>
      </c>
      <c r="Q234" s="22">
        <f>_xlfn.XLOOKUP(H234, 'Anexo A'!$E$1:$E$77, 'Anexo A'!$I$1:$I$77, "", 0)</f>
        <v>45497</v>
      </c>
      <c r="R234" s="1"/>
      <c r="Y234" s="22"/>
    </row>
    <row r="235" spans="1:25" ht="54" x14ac:dyDescent="0.2">
      <c r="A235" s="4">
        <v>738</v>
      </c>
      <c r="B235" s="13" t="s">
        <v>16</v>
      </c>
      <c r="C235" s="5" t="s">
        <v>946</v>
      </c>
      <c r="D235" s="5" t="s">
        <v>947</v>
      </c>
      <c r="E235" s="5">
        <v>56</v>
      </c>
      <c r="F235" s="6" t="s">
        <v>948</v>
      </c>
      <c r="G235" s="7">
        <v>9993940909</v>
      </c>
      <c r="H235" s="7" t="s">
        <v>949</v>
      </c>
      <c r="I235" s="5" t="s">
        <v>958</v>
      </c>
      <c r="J235" s="5" t="s">
        <v>959</v>
      </c>
      <c r="K235" s="5" t="s">
        <v>481</v>
      </c>
      <c r="L235" s="16" t="s">
        <v>482</v>
      </c>
      <c r="M235" s="4" t="s">
        <v>960</v>
      </c>
      <c r="N235" s="5" t="s">
        <v>961</v>
      </c>
      <c r="O235" s="5">
        <v>0</v>
      </c>
      <c r="P235" s="5">
        <v>1</v>
      </c>
      <c r="Q235" s="22">
        <f>_xlfn.XLOOKUP(H235, 'Anexo A'!$E$1:$E$77, 'Anexo A'!$I$1:$I$77, "", 0)</f>
        <v>45497</v>
      </c>
      <c r="R235" s="1"/>
      <c r="Y235" s="22"/>
    </row>
    <row r="236" spans="1:25" ht="54" x14ac:dyDescent="0.2">
      <c r="A236" s="4">
        <v>738</v>
      </c>
      <c r="B236" s="13" t="s">
        <v>16</v>
      </c>
      <c r="C236" s="5" t="s">
        <v>946</v>
      </c>
      <c r="D236" s="5" t="s">
        <v>947</v>
      </c>
      <c r="E236" s="5">
        <v>56</v>
      </c>
      <c r="F236" s="6" t="s">
        <v>948</v>
      </c>
      <c r="G236" s="7">
        <v>9993940909</v>
      </c>
      <c r="H236" s="7" t="s">
        <v>949</v>
      </c>
      <c r="I236" s="5" t="s">
        <v>958</v>
      </c>
      <c r="J236" s="5" t="s">
        <v>959</v>
      </c>
      <c r="K236" s="5" t="s">
        <v>136</v>
      </c>
      <c r="L236" s="16" t="s">
        <v>794</v>
      </c>
      <c r="M236" s="4" t="s">
        <v>962</v>
      </c>
      <c r="N236" s="5" t="s">
        <v>963</v>
      </c>
      <c r="O236" s="5">
        <v>0</v>
      </c>
      <c r="P236" s="5">
        <v>1</v>
      </c>
      <c r="Q236" s="22">
        <f>_xlfn.XLOOKUP(H236, 'Anexo A'!$E$1:$E$77, 'Anexo A'!$I$1:$I$77, "", 0)</f>
        <v>45497</v>
      </c>
      <c r="R236" s="1"/>
      <c r="Y236" s="22"/>
    </row>
    <row r="237" spans="1:25" ht="54" x14ac:dyDescent="0.2">
      <c r="A237" s="4">
        <v>738</v>
      </c>
      <c r="B237" s="13" t="s">
        <v>16</v>
      </c>
      <c r="C237" s="5" t="s">
        <v>946</v>
      </c>
      <c r="D237" s="5" t="s">
        <v>947</v>
      </c>
      <c r="E237" s="5">
        <v>56</v>
      </c>
      <c r="F237" s="6" t="s">
        <v>948</v>
      </c>
      <c r="G237" s="7">
        <v>9993940909</v>
      </c>
      <c r="H237" s="7" t="s">
        <v>949</v>
      </c>
      <c r="I237" s="5" t="s">
        <v>964</v>
      </c>
      <c r="J237" s="4" t="s">
        <v>164</v>
      </c>
      <c r="K237" s="5" t="s">
        <v>965</v>
      </c>
      <c r="L237" s="4" t="s">
        <v>966</v>
      </c>
      <c r="M237" s="5" t="s">
        <v>967</v>
      </c>
      <c r="N237" s="5" t="s">
        <v>968</v>
      </c>
      <c r="O237" s="5">
        <v>0</v>
      </c>
      <c r="P237" s="5">
        <v>1</v>
      </c>
      <c r="Q237" s="22">
        <f>_xlfn.XLOOKUP(H237, 'Anexo A'!$E$1:$E$77, 'Anexo A'!$I$1:$I$77, "", 0)</f>
        <v>45497</v>
      </c>
      <c r="R237" s="1"/>
      <c r="Y237" s="22"/>
    </row>
    <row r="238" spans="1:25" ht="54" x14ac:dyDescent="0.2">
      <c r="A238" s="4">
        <v>738</v>
      </c>
      <c r="B238" s="13" t="s">
        <v>16</v>
      </c>
      <c r="C238" s="5" t="s">
        <v>969</v>
      </c>
      <c r="D238" s="5" t="s">
        <v>970</v>
      </c>
      <c r="E238" s="5">
        <v>57</v>
      </c>
      <c r="F238" s="6" t="s">
        <v>971</v>
      </c>
      <c r="G238" s="7">
        <v>9831549084</v>
      </c>
      <c r="H238" s="7" t="s">
        <v>972</v>
      </c>
      <c r="I238" s="5" t="s">
        <v>21</v>
      </c>
      <c r="J238" s="5" t="s">
        <v>218</v>
      </c>
      <c r="K238" s="5" t="s">
        <v>23</v>
      </c>
      <c r="L238" s="16" t="s">
        <v>952</v>
      </c>
      <c r="M238" s="4" t="s">
        <v>973</v>
      </c>
      <c r="N238" s="5" t="s">
        <v>974</v>
      </c>
      <c r="O238" s="5">
        <v>1</v>
      </c>
      <c r="P238" s="5">
        <v>0</v>
      </c>
      <c r="Q238" s="22">
        <f>_xlfn.XLOOKUP(H238, 'Anexo A'!$E$1:$E$77, 'Anexo A'!$I$1:$I$77, "", 0)</f>
        <v>45497</v>
      </c>
      <c r="R238" s="1"/>
      <c r="Y238" s="22"/>
    </row>
    <row r="239" spans="1:25" ht="54" x14ac:dyDescent="0.2">
      <c r="A239" s="4">
        <v>738</v>
      </c>
      <c r="B239" s="13" t="s">
        <v>16</v>
      </c>
      <c r="C239" s="5" t="s">
        <v>969</v>
      </c>
      <c r="D239" s="5" t="s">
        <v>970</v>
      </c>
      <c r="E239" s="5">
        <v>57</v>
      </c>
      <c r="F239" s="6" t="s">
        <v>971</v>
      </c>
      <c r="G239" s="7">
        <v>9831549084</v>
      </c>
      <c r="H239" s="7" t="s">
        <v>972</v>
      </c>
      <c r="I239" s="5" t="s">
        <v>21</v>
      </c>
      <c r="J239" s="5" t="s">
        <v>959</v>
      </c>
      <c r="K239" s="5" t="s">
        <v>110</v>
      </c>
      <c r="L239" s="9" t="s">
        <v>975</v>
      </c>
      <c r="M239" s="4" t="s">
        <v>976</v>
      </c>
      <c r="N239" s="5" t="s">
        <v>977</v>
      </c>
      <c r="O239" s="5">
        <v>1</v>
      </c>
      <c r="P239" s="11">
        <v>0</v>
      </c>
      <c r="Q239" s="22">
        <f>_xlfn.XLOOKUP(H239, 'Anexo A'!$E$1:$E$77, 'Anexo A'!$I$1:$I$77, "", 0)</f>
        <v>45497</v>
      </c>
      <c r="R239" s="1"/>
      <c r="Y239" s="22"/>
    </row>
    <row r="240" spans="1:25" ht="54" x14ac:dyDescent="0.2">
      <c r="A240" s="4">
        <v>738</v>
      </c>
      <c r="B240" s="13" t="s">
        <v>16</v>
      </c>
      <c r="C240" s="5" t="s">
        <v>969</v>
      </c>
      <c r="D240" s="5" t="s">
        <v>970</v>
      </c>
      <c r="E240" s="5">
        <v>57</v>
      </c>
      <c r="F240" s="6" t="s">
        <v>971</v>
      </c>
      <c r="G240" s="7">
        <v>9831549084</v>
      </c>
      <c r="H240" s="7" t="s">
        <v>972</v>
      </c>
      <c r="I240" s="5" t="s">
        <v>852</v>
      </c>
      <c r="J240" s="5" t="s">
        <v>164</v>
      </c>
      <c r="K240" s="5" t="s">
        <v>965</v>
      </c>
      <c r="L240" s="9" t="s">
        <v>978</v>
      </c>
      <c r="M240" s="4" t="s">
        <v>979</v>
      </c>
      <c r="N240" s="5" t="s">
        <v>980</v>
      </c>
      <c r="O240" s="5">
        <v>0</v>
      </c>
      <c r="P240" s="11">
        <v>1</v>
      </c>
      <c r="Q240" s="22">
        <f>_xlfn.XLOOKUP(H240, 'Anexo A'!$E$1:$E$77, 'Anexo A'!$I$1:$I$77, "", 0)</f>
        <v>45497</v>
      </c>
      <c r="R240" s="1"/>
      <c r="Y240" s="22"/>
    </row>
    <row r="241" spans="1:25" ht="54" x14ac:dyDescent="0.2">
      <c r="A241" s="4">
        <v>738</v>
      </c>
      <c r="B241" s="13" t="s">
        <v>16</v>
      </c>
      <c r="C241" s="5" t="s">
        <v>981</v>
      </c>
      <c r="D241" s="5" t="s">
        <v>982</v>
      </c>
      <c r="E241" s="5">
        <v>58</v>
      </c>
      <c r="F241" s="6" t="s">
        <v>983</v>
      </c>
      <c r="G241" s="7">
        <v>9999967145</v>
      </c>
      <c r="H241" s="7" t="s">
        <v>984</v>
      </c>
      <c r="I241" s="5" t="s">
        <v>85</v>
      </c>
      <c r="J241" s="5" t="s">
        <v>164</v>
      </c>
      <c r="K241" s="5" t="s">
        <v>985</v>
      </c>
      <c r="L241" s="9" t="s">
        <v>986</v>
      </c>
      <c r="M241" s="5" t="s">
        <v>987</v>
      </c>
      <c r="N241" s="5" t="s">
        <v>988</v>
      </c>
      <c r="O241" s="5">
        <v>0</v>
      </c>
      <c r="P241" s="5">
        <v>1</v>
      </c>
      <c r="Q241" s="22">
        <f>_xlfn.XLOOKUP(H241, 'Anexo A'!$E$1:$E$77, 'Anexo A'!$I$1:$I$77, "", 0)</f>
        <v>45525</v>
      </c>
      <c r="R241" s="1"/>
      <c r="Y241" s="22"/>
    </row>
    <row r="242" spans="1:25" ht="54" x14ac:dyDescent="0.2">
      <c r="A242" s="4">
        <v>738</v>
      </c>
      <c r="B242" s="13" t="s">
        <v>16</v>
      </c>
      <c r="C242" s="5" t="s">
        <v>981</v>
      </c>
      <c r="D242" s="5" t="s">
        <v>982</v>
      </c>
      <c r="E242" s="5">
        <v>58</v>
      </c>
      <c r="F242" s="6" t="s">
        <v>983</v>
      </c>
      <c r="G242" s="7">
        <v>9999967145</v>
      </c>
      <c r="H242" s="7" t="s">
        <v>984</v>
      </c>
      <c r="I242" s="5" t="s">
        <v>85</v>
      </c>
      <c r="J242" s="5" t="s">
        <v>119</v>
      </c>
      <c r="K242" s="5" t="s">
        <v>92</v>
      </c>
      <c r="L242" s="9" t="s">
        <v>989</v>
      </c>
      <c r="M242" s="5" t="s">
        <v>990</v>
      </c>
      <c r="N242" s="5" t="s">
        <v>991</v>
      </c>
      <c r="O242" s="5">
        <v>0</v>
      </c>
      <c r="P242" s="5">
        <v>1</v>
      </c>
      <c r="Q242" s="22">
        <f>_xlfn.XLOOKUP(H242, 'Anexo A'!$E$1:$E$77, 'Anexo A'!$I$1:$I$77, "", 0)</f>
        <v>45525</v>
      </c>
      <c r="R242" s="1"/>
      <c r="Y242" s="22"/>
    </row>
    <row r="243" spans="1:25" ht="54" x14ac:dyDescent="0.2">
      <c r="A243" s="4">
        <v>738</v>
      </c>
      <c r="B243" s="13" t="s">
        <v>16</v>
      </c>
      <c r="C243" s="5" t="s">
        <v>981</v>
      </c>
      <c r="D243" s="5" t="s">
        <v>982</v>
      </c>
      <c r="E243" s="5">
        <v>58</v>
      </c>
      <c r="F243" s="6" t="s">
        <v>983</v>
      </c>
      <c r="G243" s="7">
        <v>9999967145</v>
      </c>
      <c r="H243" s="7" t="s">
        <v>984</v>
      </c>
      <c r="I243" s="4" t="s">
        <v>21</v>
      </c>
      <c r="J243" s="4" t="s">
        <v>992</v>
      </c>
      <c r="K243" s="5" t="s">
        <v>53</v>
      </c>
      <c r="L243" s="4">
        <v>25</v>
      </c>
      <c r="M243" s="5" t="s">
        <v>993</v>
      </c>
      <c r="N243" s="5" t="s">
        <v>994</v>
      </c>
      <c r="O243" s="5">
        <v>1</v>
      </c>
      <c r="P243" s="5">
        <v>0</v>
      </c>
      <c r="Q243" s="22">
        <f>_xlfn.XLOOKUP(H243, 'Anexo A'!$E$1:$E$77, 'Anexo A'!$I$1:$I$77, "", 0)</f>
        <v>45525</v>
      </c>
      <c r="R243" s="1"/>
      <c r="Y243" s="22"/>
    </row>
    <row r="244" spans="1:25" ht="54" x14ac:dyDescent="0.2">
      <c r="A244" s="4">
        <v>738</v>
      </c>
      <c r="B244" s="13" t="s">
        <v>16</v>
      </c>
      <c r="C244" s="5" t="s">
        <v>995</v>
      </c>
      <c r="D244" s="5" t="s">
        <v>996</v>
      </c>
      <c r="E244" s="5">
        <v>59</v>
      </c>
      <c r="F244" s="6" t="s">
        <v>997</v>
      </c>
      <c r="G244" s="7">
        <v>5543426160</v>
      </c>
      <c r="H244" s="7" t="s">
        <v>998</v>
      </c>
      <c r="I244" s="5" t="s">
        <v>21</v>
      </c>
      <c r="J244" s="5" t="s">
        <v>218</v>
      </c>
      <c r="K244" s="8" t="s">
        <v>53</v>
      </c>
      <c r="L244" s="16" t="s">
        <v>54</v>
      </c>
      <c r="M244" s="4" t="s">
        <v>999</v>
      </c>
      <c r="N244" s="5" t="s">
        <v>1000</v>
      </c>
      <c r="O244" s="5">
        <v>1</v>
      </c>
      <c r="P244" s="5">
        <v>0</v>
      </c>
      <c r="Q244" s="22">
        <f>_xlfn.XLOOKUP(H244, 'Anexo A'!$E$1:$E$77, 'Anexo A'!$I$1:$I$77, "", 0)</f>
        <v>45542</v>
      </c>
      <c r="R244" s="1"/>
      <c r="Y244" s="22"/>
    </row>
    <row r="245" spans="1:25" ht="54" x14ac:dyDescent="0.2">
      <c r="A245" s="4">
        <v>738</v>
      </c>
      <c r="B245" s="13" t="s">
        <v>16</v>
      </c>
      <c r="C245" s="5" t="s">
        <v>1001</v>
      </c>
      <c r="D245" s="5" t="s">
        <v>1002</v>
      </c>
      <c r="E245" s="5">
        <v>60</v>
      </c>
      <c r="F245" s="6" t="s">
        <v>1003</v>
      </c>
      <c r="G245" s="7">
        <v>4431302953</v>
      </c>
      <c r="H245" s="7" t="s">
        <v>1004</v>
      </c>
      <c r="I245" s="5"/>
      <c r="J245" s="5"/>
      <c r="K245" s="8"/>
      <c r="L245" s="16"/>
      <c r="M245" s="4"/>
      <c r="N245" s="5"/>
      <c r="O245" s="5">
        <v>0</v>
      </c>
      <c r="P245" s="5">
        <v>0</v>
      </c>
      <c r="Q245" s="22">
        <f>_xlfn.XLOOKUP(H245, 'Anexo A'!$E$1:$E$77, 'Anexo A'!$I$1:$I$77, "", 0)</f>
        <v>45549</v>
      </c>
      <c r="R245" s="1"/>
      <c r="Y245" s="22"/>
    </row>
    <row r="246" spans="1:25" ht="54" x14ac:dyDescent="0.2">
      <c r="A246" s="4">
        <v>738</v>
      </c>
      <c r="B246" s="13" t="s">
        <v>16</v>
      </c>
      <c r="C246" s="5" t="s">
        <v>1005</v>
      </c>
      <c r="D246" s="5" t="s">
        <v>1006</v>
      </c>
      <c r="E246" s="5">
        <v>61</v>
      </c>
      <c r="F246" s="6" t="s">
        <v>1007</v>
      </c>
      <c r="G246" s="7">
        <v>9993354270</v>
      </c>
      <c r="H246" s="7" t="s">
        <v>1008</v>
      </c>
      <c r="I246" s="5" t="s">
        <v>21</v>
      </c>
      <c r="J246" s="5" t="s">
        <v>218</v>
      </c>
      <c r="K246" s="8" t="s">
        <v>53</v>
      </c>
      <c r="L246" s="16" t="s">
        <v>54</v>
      </c>
      <c r="M246" s="4" t="s">
        <v>1009</v>
      </c>
      <c r="N246" s="5" t="s">
        <v>1010</v>
      </c>
      <c r="O246" s="5">
        <v>1</v>
      </c>
      <c r="P246" s="5">
        <v>0</v>
      </c>
      <c r="Q246" s="22">
        <f>_xlfn.XLOOKUP(H246, 'Anexo A'!$E$1:$E$77, 'Anexo A'!$I$1:$I$77, "", 0)</f>
        <v>45628</v>
      </c>
      <c r="R246" s="1"/>
      <c r="Y246" s="22"/>
    </row>
    <row r="247" spans="1:25" ht="54" x14ac:dyDescent="0.2">
      <c r="A247" s="4">
        <v>738</v>
      </c>
      <c r="B247" s="13" t="s">
        <v>16</v>
      </c>
      <c r="C247" s="5" t="s">
        <v>1005</v>
      </c>
      <c r="D247" s="5" t="s">
        <v>1006</v>
      </c>
      <c r="E247" s="5">
        <v>61</v>
      </c>
      <c r="F247" s="6" t="s">
        <v>1007</v>
      </c>
      <c r="G247" s="7">
        <v>9993354270</v>
      </c>
      <c r="H247" s="7" t="s">
        <v>1008</v>
      </c>
      <c r="I247" s="5" t="s">
        <v>21</v>
      </c>
      <c r="J247" s="5" t="s">
        <v>218</v>
      </c>
      <c r="K247" s="8" t="s">
        <v>53</v>
      </c>
      <c r="L247" s="16" t="s">
        <v>54</v>
      </c>
      <c r="M247" s="4" t="s">
        <v>1011</v>
      </c>
      <c r="N247" s="5" t="s">
        <v>1012</v>
      </c>
      <c r="O247" s="5">
        <v>1</v>
      </c>
      <c r="P247" s="5">
        <v>0</v>
      </c>
      <c r="Q247" s="22">
        <f>_xlfn.XLOOKUP(H247, 'Anexo A'!$E$1:$E$77, 'Anexo A'!$I$1:$I$77, "", 0)</f>
        <v>45628</v>
      </c>
      <c r="R247" s="1"/>
      <c r="Y247" s="22"/>
    </row>
    <row r="248" spans="1:25" ht="54" x14ac:dyDescent="0.2">
      <c r="A248" s="4">
        <v>738</v>
      </c>
      <c r="B248" s="13" t="s">
        <v>16</v>
      </c>
      <c r="C248" s="5" t="s">
        <v>1013</v>
      </c>
      <c r="D248" s="5" t="s">
        <v>1014</v>
      </c>
      <c r="E248" s="5">
        <v>62</v>
      </c>
      <c r="F248" s="6" t="s">
        <v>1015</v>
      </c>
      <c r="G248" s="7">
        <v>9381526811</v>
      </c>
      <c r="H248" s="7" t="s">
        <v>1016</v>
      </c>
      <c r="I248" s="5"/>
      <c r="J248" s="5"/>
      <c r="K248" s="8"/>
      <c r="L248" s="16"/>
      <c r="M248" s="4"/>
      <c r="N248" s="5"/>
      <c r="O248" s="5">
        <v>0</v>
      </c>
      <c r="P248" s="5">
        <v>0</v>
      </c>
      <c r="Q248" s="22">
        <f>_xlfn.XLOOKUP(H248, 'Anexo A'!$E$1:$E$77, 'Anexo A'!$I$1:$I$77, "", 0)</f>
        <v>45628</v>
      </c>
      <c r="R248" s="1"/>
      <c r="Y248" s="22"/>
    </row>
    <row r="249" spans="1:25" ht="54" x14ac:dyDescent="0.2">
      <c r="A249" s="4">
        <v>738</v>
      </c>
      <c r="B249" s="13" t="s">
        <v>16</v>
      </c>
      <c r="C249" s="5" t="s">
        <v>1017</v>
      </c>
      <c r="D249" s="5" t="s">
        <v>1018</v>
      </c>
      <c r="E249" s="5">
        <v>63</v>
      </c>
      <c r="F249" s="6" t="s">
        <v>1019</v>
      </c>
      <c r="G249" s="7">
        <v>9992315040</v>
      </c>
      <c r="H249" s="7" t="s">
        <v>1020</v>
      </c>
      <c r="I249" s="5" t="s">
        <v>21</v>
      </c>
      <c r="J249" s="5" t="s">
        <v>218</v>
      </c>
      <c r="K249" s="5" t="s">
        <v>23</v>
      </c>
      <c r="L249" s="16" t="s">
        <v>564</v>
      </c>
      <c r="M249" s="4" t="s">
        <v>1021</v>
      </c>
      <c r="N249" s="5" t="s">
        <v>1022</v>
      </c>
      <c r="O249" s="5">
        <v>1</v>
      </c>
      <c r="P249" s="5">
        <v>0</v>
      </c>
      <c r="Q249" s="22">
        <f>_xlfn.XLOOKUP(H249, 'Anexo A'!$E$1:$E$77, 'Anexo A'!$I$1:$I$77, "", 0)</f>
        <v>45632</v>
      </c>
      <c r="R249" s="1"/>
      <c r="Y249" s="22"/>
    </row>
    <row r="250" spans="1:25" ht="54" x14ac:dyDescent="0.2">
      <c r="A250" s="4">
        <v>738</v>
      </c>
      <c r="B250" s="13" t="s">
        <v>16</v>
      </c>
      <c r="C250" s="5" t="s">
        <v>1017</v>
      </c>
      <c r="D250" s="5" t="s">
        <v>1018</v>
      </c>
      <c r="E250" s="5">
        <v>63</v>
      </c>
      <c r="F250" s="6" t="s">
        <v>1019</v>
      </c>
      <c r="G250" s="7">
        <v>9992315040</v>
      </c>
      <c r="H250" s="7" t="s">
        <v>1020</v>
      </c>
      <c r="I250" s="5" t="s">
        <v>21</v>
      </c>
      <c r="J250" s="5" t="s">
        <v>345</v>
      </c>
      <c r="K250" s="5" t="s">
        <v>110</v>
      </c>
      <c r="L250" s="16" t="s">
        <v>1023</v>
      </c>
      <c r="M250" s="4" t="s">
        <v>1024</v>
      </c>
      <c r="N250" s="5" t="s">
        <v>1025</v>
      </c>
      <c r="O250" s="5">
        <v>1</v>
      </c>
      <c r="P250" s="5">
        <v>0</v>
      </c>
      <c r="Q250" s="22">
        <f>_xlfn.XLOOKUP(H250, 'Anexo A'!$E$1:$E$77, 'Anexo A'!$I$1:$I$77, "", 0)</f>
        <v>45632</v>
      </c>
      <c r="R250" s="1"/>
      <c r="Y250" s="22"/>
    </row>
    <row r="251" spans="1:25" ht="54" x14ac:dyDescent="0.2">
      <c r="A251" s="4">
        <v>738</v>
      </c>
      <c r="B251" s="13" t="s">
        <v>16</v>
      </c>
      <c r="C251" s="5" t="s">
        <v>1017</v>
      </c>
      <c r="D251" s="5" t="s">
        <v>1018</v>
      </c>
      <c r="E251" s="5">
        <v>63</v>
      </c>
      <c r="F251" s="6" t="s">
        <v>1019</v>
      </c>
      <c r="G251" s="7">
        <v>9992315040</v>
      </c>
      <c r="H251" s="7" t="s">
        <v>1020</v>
      </c>
      <c r="I251" s="5" t="s">
        <v>958</v>
      </c>
      <c r="J251" s="5" t="s">
        <v>35</v>
      </c>
      <c r="K251" s="5" t="s">
        <v>481</v>
      </c>
      <c r="L251" s="16" t="s">
        <v>482</v>
      </c>
      <c r="M251" s="4">
        <v>27280</v>
      </c>
      <c r="N251" s="5" t="s">
        <v>1026</v>
      </c>
      <c r="O251" s="5">
        <v>0</v>
      </c>
      <c r="P251" s="5">
        <v>1</v>
      </c>
      <c r="Q251" s="22">
        <f>_xlfn.XLOOKUP(H251, 'Anexo A'!$E$1:$E$77, 'Anexo A'!$I$1:$I$77, "", 0)</f>
        <v>45632</v>
      </c>
      <c r="R251" s="1"/>
      <c r="Y251" s="22"/>
    </row>
    <row r="252" spans="1:25" ht="54" x14ac:dyDescent="0.2">
      <c r="A252" s="4">
        <v>738</v>
      </c>
      <c r="B252" s="13" t="s">
        <v>16</v>
      </c>
      <c r="C252" s="5" t="s">
        <v>1027</v>
      </c>
      <c r="D252" s="5" t="s">
        <v>1028</v>
      </c>
      <c r="E252" s="5">
        <v>64</v>
      </c>
      <c r="F252" s="6" t="s">
        <v>1029</v>
      </c>
      <c r="G252" s="7">
        <v>9993778311</v>
      </c>
      <c r="H252" s="7" t="s">
        <v>1030</v>
      </c>
      <c r="I252" s="5"/>
      <c r="J252" s="5"/>
      <c r="K252" s="5"/>
      <c r="L252" s="16"/>
      <c r="M252" s="4"/>
      <c r="N252" s="5"/>
      <c r="O252" s="5">
        <v>0</v>
      </c>
      <c r="P252" s="5">
        <v>0</v>
      </c>
      <c r="Q252" s="22">
        <f>_xlfn.XLOOKUP(H252, 'Anexo A'!$E$1:$E$77, 'Anexo A'!$I$1:$I$77, "", 0)</f>
        <v>45642</v>
      </c>
      <c r="R252" s="1"/>
      <c r="Y252" s="22"/>
    </row>
    <row r="253" spans="1:25" ht="54" x14ac:dyDescent="0.2">
      <c r="A253" s="4">
        <v>738</v>
      </c>
      <c r="B253" s="13" t="s">
        <v>16</v>
      </c>
      <c r="C253" s="5" t="s">
        <v>1031</v>
      </c>
      <c r="D253" s="5" t="s">
        <v>1032</v>
      </c>
      <c r="E253" s="5">
        <v>65</v>
      </c>
      <c r="F253" s="6" t="s">
        <v>1033</v>
      </c>
      <c r="G253" s="7" t="s">
        <v>1034</v>
      </c>
      <c r="H253" s="7" t="s">
        <v>1035</v>
      </c>
      <c r="I253" s="5" t="s">
        <v>21</v>
      </c>
      <c r="J253" s="5" t="s">
        <v>345</v>
      </c>
      <c r="K253" s="5" t="s">
        <v>780</v>
      </c>
      <c r="L253" s="16" t="s">
        <v>1036</v>
      </c>
      <c r="M253" s="4" t="s">
        <v>1037</v>
      </c>
      <c r="N253" s="5" t="s">
        <v>1038</v>
      </c>
      <c r="O253" s="5">
        <v>1</v>
      </c>
      <c r="P253" s="5">
        <v>0</v>
      </c>
      <c r="Q253" s="22">
        <f>_xlfn.XLOOKUP(H253, 'Anexo A'!$E$1:$E$77, 'Anexo A'!$I$1:$I$77, "", 0)</f>
        <v>45642</v>
      </c>
      <c r="R253" s="1"/>
      <c r="Y253" s="22"/>
    </row>
    <row r="254" spans="1:25" ht="54" x14ac:dyDescent="0.2">
      <c r="A254" s="4">
        <v>738</v>
      </c>
      <c r="B254" s="13" t="s">
        <v>16</v>
      </c>
      <c r="C254" s="5" t="s">
        <v>1031</v>
      </c>
      <c r="D254" s="5" t="s">
        <v>1032</v>
      </c>
      <c r="E254" s="5">
        <v>65</v>
      </c>
      <c r="F254" s="6" t="s">
        <v>1033</v>
      </c>
      <c r="G254" s="7" t="s">
        <v>1034</v>
      </c>
      <c r="H254" s="7" t="s">
        <v>1035</v>
      </c>
      <c r="I254" s="5" t="s">
        <v>21</v>
      </c>
      <c r="J254" s="5" t="s">
        <v>218</v>
      </c>
      <c r="K254" s="5" t="s">
        <v>23</v>
      </c>
      <c r="L254" s="16" t="s">
        <v>24</v>
      </c>
      <c r="M254" s="4" t="s">
        <v>1039</v>
      </c>
      <c r="N254" s="5" t="s">
        <v>1040</v>
      </c>
      <c r="O254" s="5">
        <v>1</v>
      </c>
      <c r="P254" s="5">
        <v>0</v>
      </c>
      <c r="Q254" s="22">
        <f>_xlfn.XLOOKUP(H254, 'Anexo A'!$E$1:$E$77, 'Anexo A'!$I$1:$I$77, "", 0)</f>
        <v>45642</v>
      </c>
      <c r="R254" s="1"/>
      <c r="Y254" s="22"/>
    </row>
    <row r="255" spans="1:25" ht="54" x14ac:dyDescent="0.2">
      <c r="A255" s="4">
        <v>738</v>
      </c>
      <c r="B255" s="13" t="s">
        <v>16</v>
      </c>
      <c r="C255" s="5" t="s">
        <v>1031</v>
      </c>
      <c r="D255" s="5" t="s">
        <v>1032</v>
      </c>
      <c r="E255" s="5">
        <v>65</v>
      </c>
      <c r="F255" s="6" t="s">
        <v>1033</v>
      </c>
      <c r="G255" s="7" t="s">
        <v>1034</v>
      </c>
      <c r="H255" s="7" t="s">
        <v>1035</v>
      </c>
      <c r="I255" s="5" t="s">
        <v>21</v>
      </c>
      <c r="J255" s="5" t="s">
        <v>218</v>
      </c>
      <c r="K255" s="5" t="s">
        <v>23</v>
      </c>
      <c r="L255" s="16" t="s">
        <v>24</v>
      </c>
      <c r="M255" s="4" t="s">
        <v>1041</v>
      </c>
      <c r="N255" s="5" t="s">
        <v>1042</v>
      </c>
      <c r="O255" s="5">
        <v>1</v>
      </c>
      <c r="P255" s="5">
        <v>0</v>
      </c>
      <c r="Q255" s="22">
        <f>_xlfn.XLOOKUP(H255, 'Anexo A'!$E$1:$E$77, 'Anexo A'!$I$1:$I$77, "", 0)</f>
        <v>45642</v>
      </c>
      <c r="R255" s="1"/>
      <c r="Y255" s="22"/>
    </row>
    <row r="256" spans="1:25" ht="54" x14ac:dyDescent="0.2">
      <c r="A256" s="4">
        <v>738</v>
      </c>
      <c r="B256" s="13" t="s">
        <v>16</v>
      </c>
      <c r="C256" s="5" t="s">
        <v>1031</v>
      </c>
      <c r="D256" s="5" t="s">
        <v>1032</v>
      </c>
      <c r="E256" s="5">
        <v>65</v>
      </c>
      <c r="F256" s="6" t="s">
        <v>1033</v>
      </c>
      <c r="G256" s="7" t="s">
        <v>1034</v>
      </c>
      <c r="H256" s="7" t="s">
        <v>1035</v>
      </c>
      <c r="I256" s="5" t="s">
        <v>21</v>
      </c>
      <c r="J256" s="5" t="s">
        <v>218</v>
      </c>
      <c r="K256" s="5" t="s">
        <v>363</v>
      </c>
      <c r="L256" s="16" t="s">
        <v>364</v>
      </c>
      <c r="M256" s="4" t="s">
        <v>1043</v>
      </c>
      <c r="N256" s="5" t="s">
        <v>1044</v>
      </c>
      <c r="O256" s="5">
        <v>1</v>
      </c>
      <c r="P256" s="5">
        <v>0</v>
      </c>
      <c r="Q256" s="22">
        <f>_xlfn.XLOOKUP(H256, 'Anexo A'!$E$1:$E$77, 'Anexo A'!$I$1:$I$77, "", 0)</f>
        <v>45642</v>
      </c>
      <c r="R256" s="1"/>
      <c r="Y256" s="22"/>
    </row>
    <row r="257" spans="1:25" ht="54" x14ac:dyDescent="0.2">
      <c r="A257" s="4">
        <v>738</v>
      </c>
      <c r="B257" s="13" t="s">
        <v>16</v>
      </c>
      <c r="C257" s="5" t="s">
        <v>1031</v>
      </c>
      <c r="D257" s="5" t="s">
        <v>1032</v>
      </c>
      <c r="E257" s="5">
        <v>65</v>
      </c>
      <c r="F257" s="6" t="s">
        <v>1033</v>
      </c>
      <c r="G257" s="7" t="s">
        <v>1034</v>
      </c>
      <c r="H257" s="7" t="s">
        <v>1035</v>
      </c>
      <c r="I257" s="5" t="s">
        <v>21</v>
      </c>
      <c r="J257" s="5" t="s">
        <v>218</v>
      </c>
      <c r="K257" s="5" t="s">
        <v>53</v>
      </c>
      <c r="L257" s="16" t="s">
        <v>54</v>
      </c>
      <c r="M257" s="4" t="s">
        <v>1045</v>
      </c>
      <c r="N257" s="5" t="s">
        <v>1046</v>
      </c>
      <c r="O257" s="5">
        <v>1</v>
      </c>
      <c r="P257" s="5">
        <v>0</v>
      </c>
      <c r="Q257" s="22">
        <f>_xlfn.XLOOKUP(H257, 'Anexo A'!$E$1:$E$77, 'Anexo A'!$I$1:$I$77, "", 0)</f>
        <v>45642</v>
      </c>
      <c r="R257" s="1"/>
      <c r="Y257" s="22"/>
    </row>
    <row r="258" spans="1:25" ht="54" x14ac:dyDescent="0.2">
      <c r="A258" s="4">
        <v>738</v>
      </c>
      <c r="B258" s="13" t="s">
        <v>16</v>
      </c>
      <c r="C258" s="5" t="s">
        <v>1031</v>
      </c>
      <c r="D258" s="5" t="s">
        <v>1032</v>
      </c>
      <c r="E258" s="5">
        <v>65</v>
      </c>
      <c r="F258" s="6" t="s">
        <v>1033</v>
      </c>
      <c r="G258" s="7" t="s">
        <v>1034</v>
      </c>
      <c r="H258" s="7" t="s">
        <v>1035</v>
      </c>
      <c r="I258" s="5" t="s">
        <v>72</v>
      </c>
      <c r="J258" s="5" t="s">
        <v>58</v>
      </c>
      <c r="K258" s="5" t="s">
        <v>1047</v>
      </c>
      <c r="L258" s="16" t="s">
        <v>1048</v>
      </c>
      <c r="M258" s="4" t="s">
        <v>1049</v>
      </c>
      <c r="N258" s="5" t="s">
        <v>1050</v>
      </c>
      <c r="O258" s="5">
        <v>1</v>
      </c>
      <c r="P258" s="5">
        <v>0</v>
      </c>
      <c r="Q258" s="22">
        <f>_xlfn.XLOOKUP(H258, 'Anexo A'!$E$1:$E$77, 'Anexo A'!$I$1:$I$77, "", 0)</f>
        <v>45642</v>
      </c>
      <c r="R258" s="1"/>
      <c r="Y258" s="22"/>
    </row>
    <row r="259" spans="1:25" ht="54" x14ac:dyDescent="0.2">
      <c r="A259" s="4">
        <v>738</v>
      </c>
      <c r="B259" s="13" t="s">
        <v>16</v>
      </c>
      <c r="C259" s="5" t="s">
        <v>1031</v>
      </c>
      <c r="D259" s="5" t="s">
        <v>1032</v>
      </c>
      <c r="E259" s="5">
        <v>65</v>
      </c>
      <c r="F259" s="6" t="s">
        <v>1033</v>
      </c>
      <c r="G259" s="7" t="s">
        <v>1034</v>
      </c>
      <c r="H259" s="7" t="s">
        <v>1035</v>
      </c>
      <c r="I259" s="5" t="s">
        <v>1051</v>
      </c>
      <c r="J259" s="5" t="s">
        <v>35</v>
      </c>
      <c r="K259" s="5" t="s">
        <v>1052</v>
      </c>
      <c r="L259" s="16" t="s">
        <v>1053</v>
      </c>
      <c r="M259" s="4" t="s">
        <v>1054</v>
      </c>
      <c r="N259" s="5" t="s">
        <v>1055</v>
      </c>
      <c r="O259" s="5">
        <v>0</v>
      </c>
      <c r="P259" s="5">
        <v>1</v>
      </c>
      <c r="Q259" s="22">
        <f>_xlfn.XLOOKUP(H259, 'Anexo A'!$E$1:$E$77, 'Anexo A'!$I$1:$I$77, "", 0)</f>
        <v>45642</v>
      </c>
      <c r="R259" s="1"/>
      <c r="Y259" s="22"/>
    </row>
    <row r="260" spans="1:25" ht="54" x14ac:dyDescent="0.2">
      <c r="A260" s="4">
        <v>738</v>
      </c>
      <c r="B260" s="13" t="s">
        <v>16</v>
      </c>
      <c r="C260" s="5" t="s">
        <v>1056</v>
      </c>
      <c r="D260" s="5" t="s">
        <v>1057</v>
      </c>
      <c r="E260" s="5">
        <v>66</v>
      </c>
      <c r="F260" s="6" t="s">
        <v>1058</v>
      </c>
      <c r="G260" s="7">
        <v>9995759542</v>
      </c>
      <c r="H260" s="7" t="s">
        <v>1059</v>
      </c>
      <c r="I260" s="5" t="s">
        <v>21</v>
      </c>
      <c r="J260" s="5" t="s">
        <v>218</v>
      </c>
      <c r="K260" s="5" t="s">
        <v>23</v>
      </c>
      <c r="L260" s="16" t="s">
        <v>24</v>
      </c>
      <c r="M260" s="4" t="s">
        <v>1060</v>
      </c>
      <c r="N260" s="5" t="s">
        <v>1061</v>
      </c>
      <c r="O260" s="5">
        <v>1</v>
      </c>
      <c r="P260" s="5">
        <v>0</v>
      </c>
      <c r="Q260" s="22">
        <f>_xlfn.XLOOKUP(H260, 'Anexo A'!$E$1:$E$77, 'Anexo A'!$I$1:$I$77, "", 0)</f>
        <v>45717</v>
      </c>
      <c r="R260" s="1"/>
      <c r="Y260" s="22"/>
    </row>
    <row r="261" spans="1:25" ht="54" x14ac:dyDescent="0.2">
      <c r="A261" s="4">
        <v>738</v>
      </c>
      <c r="B261" s="13" t="s">
        <v>16</v>
      </c>
      <c r="C261" s="5" t="s">
        <v>1056</v>
      </c>
      <c r="D261" s="5" t="s">
        <v>1057</v>
      </c>
      <c r="E261" s="5">
        <v>66</v>
      </c>
      <c r="F261" s="6" t="s">
        <v>1058</v>
      </c>
      <c r="G261" s="7">
        <v>9995759542</v>
      </c>
      <c r="H261" s="7" t="s">
        <v>1059</v>
      </c>
      <c r="I261" s="5" t="s">
        <v>57</v>
      </c>
      <c r="J261" s="5" t="s">
        <v>35</v>
      </c>
      <c r="K261" s="5" t="s">
        <v>23</v>
      </c>
      <c r="L261" s="16" t="s">
        <v>1062</v>
      </c>
      <c r="M261" s="4" t="s">
        <v>1063</v>
      </c>
      <c r="N261" s="5" t="s">
        <v>1064</v>
      </c>
      <c r="O261" s="5">
        <v>0</v>
      </c>
      <c r="P261" s="5">
        <v>1</v>
      </c>
      <c r="Q261" s="22">
        <f>_xlfn.XLOOKUP(H261, 'Anexo A'!$E$1:$E$77, 'Anexo A'!$I$1:$I$77, "", 0)</f>
        <v>45717</v>
      </c>
      <c r="R261" s="1"/>
      <c r="Y261" s="22"/>
    </row>
    <row r="262" spans="1:25" ht="54" x14ac:dyDescent="0.2">
      <c r="A262" s="4">
        <v>738</v>
      </c>
      <c r="B262" s="13" t="s">
        <v>16</v>
      </c>
      <c r="C262" s="5" t="s">
        <v>1056</v>
      </c>
      <c r="D262" s="5" t="s">
        <v>1057</v>
      </c>
      <c r="E262" s="5">
        <v>66</v>
      </c>
      <c r="F262" s="6" t="s">
        <v>1058</v>
      </c>
      <c r="G262" s="7">
        <v>9995759542</v>
      </c>
      <c r="H262" s="7" t="s">
        <v>1059</v>
      </c>
      <c r="I262" s="5" t="s">
        <v>852</v>
      </c>
      <c r="J262" s="5" t="s">
        <v>164</v>
      </c>
      <c r="K262" s="5" t="s">
        <v>1065</v>
      </c>
      <c r="L262" s="16" t="s">
        <v>1066</v>
      </c>
      <c r="M262" s="4" t="s">
        <v>1067</v>
      </c>
      <c r="N262" s="5" t="s">
        <v>1068</v>
      </c>
      <c r="O262" s="5">
        <v>0</v>
      </c>
      <c r="P262" s="5">
        <v>1</v>
      </c>
      <c r="Q262" s="22">
        <f>_xlfn.XLOOKUP(H262, 'Anexo A'!$E$1:$E$77, 'Anexo A'!$I$1:$I$77, "", 0)</f>
        <v>45717</v>
      </c>
      <c r="R262" s="1"/>
      <c r="Y262" s="22"/>
    </row>
    <row r="263" spans="1:25" ht="54" x14ac:dyDescent="0.2">
      <c r="A263" s="4">
        <v>738</v>
      </c>
      <c r="B263" s="13" t="s">
        <v>16</v>
      </c>
      <c r="C263" s="5" t="s">
        <v>1069</v>
      </c>
      <c r="D263" s="5" t="s">
        <v>1070</v>
      </c>
      <c r="E263" s="5">
        <v>67</v>
      </c>
      <c r="F263" s="6" t="s">
        <v>1071</v>
      </c>
      <c r="G263" s="7">
        <v>9994912883</v>
      </c>
      <c r="H263" s="7" t="s">
        <v>1072</v>
      </c>
      <c r="I263" s="5" t="s">
        <v>1073</v>
      </c>
      <c r="J263" s="5" t="s">
        <v>35</v>
      </c>
      <c r="K263" s="5" t="s">
        <v>481</v>
      </c>
      <c r="L263" s="16" t="s">
        <v>482</v>
      </c>
      <c r="M263" s="4">
        <v>42722</v>
      </c>
      <c r="N263" s="5" t="s">
        <v>1074</v>
      </c>
      <c r="O263" s="5">
        <v>0</v>
      </c>
      <c r="P263" s="5">
        <v>1</v>
      </c>
      <c r="Q263" s="22">
        <f>_xlfn.XLOOKUP(H263, 'Anexo A'!$E$1:$E$77, 'Anexo A'!$I$1:$I$77, "", 0)</f>
        <v>45747</v>
      </c>
      <c r="R263" s="1"/>
      <c r="Y263" s="22"/>
    </row>
    <row r="264" spans="1:25" ht="54" x14ac:dyDescent="0.2">
      <c r="A264" s="4">
        <v>738</v>
      </c>
      <c r="B264" s="13" t="s">
        <v>16</v>
      </c>
      <c r="C264" s="5" t="s">
        <v>1069</v>
      </c>
      <c r="D264" s="5" t="s">
        <v>1070</v>
      </c>
      <c r="E264" s="5">
        <v>67</v>
      </c>
      <c r="F264" s="6" t="s">
        <v>1071</v>
      </c>
      <c r="G264" s="7">
        <v>9994912883</v>
      </c>
      <c r="H264" s="7" t="s">
        <v>1072</v>
      </c>
      <c r="I264" s="5" t="s">
        <v>57</v>
      </c>
      <c r="J264" s="9" t="s">
        <v>253</v>
      </c>
      <c r="K264" s="9" t="s">
        <v>158</v>
      </c>
      <c r="L264" s="9" t="s">
        <v>254</v>
      </c>
      <c r="M264" s="4" t="s">
        <v>1075</v>
      </c>
      <c r="N264" s="5" t="s">
        <v>1076</v>
      </c>
      <c r="O264" s="5">
        <v>0</v>
      </c>
      <c r="P264" s="5">
        <v>1</v>
      </c>
      <c r="Q264" s="22">
        <f>_xlfn.XLOOKUP(H264, 'Anexo A'!$E$1:$E$77, 'Anexo A'!$I$1:$I$77, "", 0)</f>
        <v>45747</v>
      </c>
      <c r="R264" s="1"/>
      <c r="Y264" s="22"/>
    </row>
    <row r="265" spans="1:25" ht="54" x14ac:dyDescent="0.2">
      <c r="A265" s="4">
        <v>738</v>
      </c>
      <c r="B265" s="13" t="s">
        <v>16</v>
      </c>
      <c r="C265" s="5" t="s">
        <v>1069</v>
      </c>
      <c r="D265" s="5" t="s">
        <v>1070</v>
      </c>
      <c r="E265" s="5">
        <v>67</v>
      </c>
      <c r="F265" s="6" t="s">
        <v>1071</v>
      </c>
      <c r="G265" s="7">
        <v>9994912883</v>
      </c>
      <c r="H265" s="7" t="s">
        <v>1072</v>
      </c>
      <c r="I265" s="5" t="s">
        <v>57</v>
      </c>
      <c r="J265" s="9" t="s">
        <v>253</v>
      </c>
      <c r="K265" s="9" t="s">
        <v>158</v>
      </c>
      <c r="L265" s="9" t="s">
        <v>254</v>
      </c>
      <c r="M265" s="4" t="s">
        <v>1077</v>
      </c>
      <c r="N265" s="5" t="s">
        <v>1078</v>
      </c>
      <c r="O265" s="5">
        <v>0</v>
      </c>
      <c r="P265" s="5">
        <v>1</v>
      </c>
      <c r="Q265" s="22">
        <f>_xlfn.XLOOKUP(H265, 'Anexo A'!$E$1:$E$77, 'Anexo A'!$I$1:$I$77, "", 0)</f>
        <v>45747</v>
      </c>
      <c r="R265" s="1"/>
      <c r="Y265" s="22"/>
    </row>
    <row r="266" spans="1:25" ht="54" x14ac:dyDescent="0.2">
      <c r="A266" s="4">
        <v>738</v>
      </c>
      <c r="B266" s="13" t="s">
        <v>16</v>
      </c>
      <c r="C266" s="5" t="s">
        <v>1069</v>
      </c>
      <c r="D266" s="5" t="s">
        <v>1070</v>
      </c>
      <c r="E266" s="5">
        <v>67</v>
      </c>
      <c r="F266" s="6" t="s">
        <v>1071</v>
      </c>
      <c r="G266" s="7">
        <v>9994912883</v>
      </c>
      <c r="H266" s="7" t="s">
        <v>1072</v>
      </c>
      <c r="I266" s="5" t="s">
        <v>852</v>
      </c>
      <c r="J266" s="4" t="s">
        <v>164</v>
      </c>
      <c r="K266" s="5" t="s">
        <v>965</v>
      </c>
      <c r="L266" s="4" t="s">
        <v>1079</v>
      </c>
      <c r="M266" s="5" t="s">
        <v>1080</v>
      </c>
      <c r="N266" s="5" t="s">
        <v>968</v>
      </c>
      <c r="O266" s="5">
        <v>0</v>
      </c>
      <c r="P266" s="5">
        <v>1</v>
      </c>
      <c r="Q266" s="22">
        <f>_xlfn.XLOOKUP(H266, 'Anexo A'!$E$1:$E$77, 'Anexo A'!$I$1:$I$77, "", 0)</f>
        <v>45747</v>
      </c>
      <c r="R266" s="1"/>
      <c r="Y266" s="22"/>
    </row>
    <row r="267" spans="1:25" ht="54" x14ac:dyDescent="0.2">
      <c r="A267" s="4">
        <v>738</v>
      </c>
      <c r="B267" s="13" t="s">
        <v>16</v>
      </c>
      <c r="C267" s="5" t="s">
        <v>1069</v>
      </c>
      <c r="D267" s="5" t="s">
        <v>1070</v>
      </c>
      <c r="E267" s="5">
        <v>67</v>
      </c>
      <c r="F267" s="6" t="s">
        <v>1071</v>
      </c>
      <c r="G267" s="7">
        <v>9994912883</v>
      </c>
      <c r="H267" s="7" t="s">
        <v>1072</v>
      </c>
      <c r="I267" s="5" t="s">
        <v>21</v>
      </c>
      <c r="J267" s="5" t="s">
        <v>218</v>
      </c>
      <c r="K267" s="5" t="s">
        <v>1081</v>
      </c>
      <c r="L267" s="9" t="s">
        <v>1082</v>
      </c>
      <c r="M267" s="4" t="s">
        <v>1083</v>
      </c>
      <c r="N267" s="5" t="s">
        <v>1084</v>
      </c>
      <c r="O267" s="5">
        <v>1</v>
      </c>
      <c r="P267" s="5">
        <v>0</v>
      </c>
      <c r="Q267" s="22">
        <f>_xlfn.XLOOKUP(H267, 'Anexo A'!$E$1:$E$77, 'Anexo A'!$I$1:$I$77, "", 0)</f>
        <v>45747</v>
      </c>
      <c r="R267" s="1"/>
      <c r="Y267" s="22"/>
    </row>
    <row r="268" spans="1:25" ht="54" x14ac:dyDescent="0.2">
      <c r="A268" s="4">
        <v>738</v>
      </c>
      <c r="B268" s="13" t="s">
        <v>16</v>
      </c>
      <c r="C268" s="5" t="s">
        <v>1069</v>
      </c>
      <c r="D268" s="5" t="s">
        <v>1070</v>
      </c>
      <c r="E268" s="5">
        <v>67</v>
      </c>
      <c r="F268" s="6" t="s">
        <v>1071</v>
      </c>
      <c r="G268" s="7">
        <v>9994912883</v>
      </c>
      <c r="H268" s="7" t="s">
        <v>1072</v>
      </c>
      <c r="I268" s="5" t="s">
        <v>21</v>
      </c>
      <c r="J268" s="5" t="s">
        <v>45</v>
      </c>
      <c r="K268" s="5" t="s">
        <v>53</v>
      </c>
      <c r="L268" s="16" t="s">
        <v>54</v>
      </c>
      <c r="M268" s="4" t="s">
        <v>1085</v>
      </c>
      <c r="N268" s="5" t="s">
        <v>1086</v>
      </c>
      <c r="O268" s="5">
        <v>1</v>
      </c>
      <c r="P268" s="5">
        <v>0</v>
      </c>
      <c r="Q268" s="22">
        <f>_xlfn.XLOOKUP(H268, 'Anexo A'!$E$1:$E$77, 'Anexo A'!$I$1:$I$77, "", 0)</f>
        <v>45747</v>
      </c>
      <c r="R268" s="1"/>
      <c r="Y268" s="22"/>
    </row>
    <row r="269" spans="1:25" ht="54" x14ac:dyDescent="0.2">
      <c r="A269" s="4">
        <v>738</v>
      </c>
      <c r="B269" s="13" t="s">
        <v>16</v>
      </c>
      <c r="C269" s="5" t="s">
        <v>1069</v>
      </c>
      <c r="D269" s="5" t="s">
        <v>1070</v>
      </c>
      <c r="E269" s="5">
        <v>67</v>
      </c>
      <c r="F269" s="6" t="s">
        <v>1071</v>
      </c>
      <c r="G269" s="7">
        <v>9994912883</v>
      </c>
      <c r="H269" s="7" t="s">
        <v>1072</v>
      </c>
      <c r="I269" s="5" t="s">
        <v>21</v>
      </c>
      <c r="J269" s="5" t="s">
        <v>356</v>
      </c>
      <c r="K269" s="5" t="s">
        <v>780</v>
      </c>
      <c r="L269" s="16" t="s">
        <v>784</v>
      </c>
      <c r="M269" s="4" t="s">
        <v>1087</v>
      </c>
      <c r="N269" s="5" t="s">
        <v>1088</v>
      </c>
      <c r="O269" s="5">
        <v>1</v>
      </c>
      <c r="P269" s="5">
        <v>0</v>
      </c>
      <c r="Q269" s="22">
        <f>_xlfn.XLOOKUP(H269, 'Anexo A'!$E$1:$E$77, 'Anexo A'!$I$1:$I$77, "", 0)</f>
        <v>45747</v>
      </c>
      <c r="R269" s="1"/>
      <c r="Y269" s="22"/>
    </row>
    <row r="270" spans="1:25" ht="54" x14ac:dyDescent="0.2">
      <c r="A270" s="4">
        <v>738</v>
      </c>
      <c r="B270" s="13" t="s">
        <v>16</v>
      </c>
      <c r="C270" s="5" t="s">
        <v>1089</v>
      </c>
      <c r="D270" s="5" t="s">
        <v>1090</v>
      </c>
      <c r="E270" s="5">
        <v>68</v>
      </c>
      <c r="F270" s="6" t="s">
        <v>1091</v>
      </c>
      <c r="G270" s="12" t="s">
        <v>1092</v>
      </c>
      <c r="H270" s="7" t="s">
        <v>1093</v>
      </c>
      <c r="I270" s="5"/>
      <c r="J270" s="5"/>
      <c r="K270" s="5"/>
      <c r="L270" s="16"/>
      <c r="M270" s="4"/>
      <c r="N270" s="5"/>
      <c r="O270" s="5">
        <v>0</v>
      </c>
      <c r="P270" s="5">
        <v>0</v>
      </c>
      <c r="Q270" s="22">
        <f>_xlfn.XLOOKUP(H270, 'Anexo A'!$E$1:$E$77, 'Anexo A'!$I$1:$I$77, "", 0)</f>
        <v>45730</v>
      </c>
      <c r="R270" s="1"/>
      <c r="Y270" s="22"/>
    </row>
    <row r="271" spans="1:25" ht="54" x14ac:dyDescent="0.2">
      <c r="A271" s="4">
        <v>738</v>
      </c>
      <c r="B271" s="13" t="s">
        <v>16</v>
      </c>
      <c r="C271" s="5" t="s">
        <v>1094</v>
      </c>
      <c r="D271" s="5" t="s">
        <v>1095</v>
      </c>
      <c r="E271" s="5">
        <v>69</v>
      </c>
      <c r="F271" s="6" t="s">
        <v>1096</v>
      </c>
      <c r="G271" s="7">
        <v>9993772793</v>
      </c>
      <c r="H271" s="7" t="s">
        <v>1097</v>
      </c>
      <c r="I271" s="5" t="s">
        <v>21</v>
      </c>
      <c r="J271" s="5" t="s">
        <v>35</v>
      </c>
      <c r="K271" s="5" t="s">
        <v>110</v>
      </c>
      <c r="L271" s="9" t="s">
        <v>975</v>
      </c>
      <c r="M271" s="4" t="s">
        <v>1098</v>
      </c>
      <c r="N271" s="5" t="s">
        <v>1099</v>
      </c>
      <c r="O271" s="5">
        <v>1</v>
      </c>
      <c r="P271" s="5">
        <v>0</v>
      </c>
      <c r="Q271" s="22">
        <f>_xlfn.XLOOKUP(H271, 'Anexo A'!$E$1:$E$77, 'Anexo A'!$I$1:$I$77, "", 0)</f>
        <v>45777</v>
      </c>
      <c r="R271" s="1"/>
      <c r="Y271" s="22"/>
    </row>
    <row r="272" spans="1:25" ht="54" x14ac:dyDescent="0.2">
      <c r="A272" s="4">
        <v>738</v>
      </c>
      <c r="B272" s="13" t="s">
        <v>16</v>
      </c>
      <c r="C272" s="5" t="s">
        <v>1094</v>
      </c>
      <c r="D272" s="5" t="s">
        <v>1095</v>
      </c>
      <c r="E272" s="5">
        <v>69</v>
      </c>
      <c r="F272" s="6" t="s">
        <v>1096</v>
      </c>
      <c r="G272" s="7">
        <v>9993772793</v>
      </c>
      <c r="H272" s="7" t="s">
        <v>1097</v>
      </c>
      <c r="I272" s="5" t="s">
        <v>57</v>
      </c>
      <c r="J272" s="5" t="s">
        <v>35</v>
      </c>
      <c r="K272" s="8" t="s">
        <v>23</v>
      </c>
      <c r="L272" s="9" t="s">
        <v>1100</v>
      </c>
      <c r="M272" s="5" t="s">
        <v>1101</v>
      </c>
      <c r="N272" s="5" t="s">
        <v>1102</v>
      </c>
      <c r="O272" s="5">
        <v>0</v>
      </c>
      <c r="P272" s="5">
        <v>1</v>
      </c>
      <c r="Q272" s="22">
        <f>_xlfn.XLOOKUP(H272, 'Anexo A'!$E$1:$E$77, 'Anexo A'!$I$1:$I$77, "", 0)</f>
        <v>45777</v>
      </c>
      <c r="R272" s="1"/>
      <c r="Y272" s="22"/>
    </row>
    <row r="273" spans="1:25" ht="54" x14ac:dyDescent="0.2">
      <c r="A273" s="4">
        <v>738</v>
      </c>
      <c r="B273" s="13" t="s">
        <v>16</v>
      </c>
      <c r="C273" s="5" t="s">
        <v>1094</v>
      </c>
      <c r="D273" s="5" t="s">
        <v>1095</v>
      </c>
      <c r="E273" s="5">
        <v>69</v>
      </c>
      <c r="F273" s="6" t="s">
        <v>1096</v>
      </c>
      <c r="G273" s="7">
        <v>9993772793</v>
      </c>
      <c r="H273" s="7" t="s">
        <v>1097</v>
      </c>
      <c r="I273" s="5" t="s">
        <v>21</v>
      </c>
      <c r="J273" s="5" t="s">
        <v>356</v>
      </c>
      <c r="K273" s="8" t="s">
        <v>23</v>
      </c>
      <c r="L273" s="9" t="s">
        <v>564</v>
      </c>
      <c r="M273" s="5" t="s">
        <v>1103</v>
      </c>
      <c r="N273" s="5" t="s">
        <v>1104</v>
      </c>
      <c r="O273" s="5">
        <v>1</v>
      </c>
      <c r="P273" s="5">
        <v>0</v>
      </c>
      <c r="Q273" s="22">
        <f>_xlfn.XLOOKUP(H273, 'Anexo A'!$E$1:$E$77, 'Anexo A'!$I$1:$I$77, "", 0)</f>
        <v>45777</v>
      </c>
      <c r="R273" s="1"/>
      <c r="Y273" s="22"/>
    </row>
    <row r="274" spans="1:25" ht="54" x14ac:dyDescent="0.2">
      <c r="A274" s="4">
        <v>738</v>
      </c>
      <c r="B274" s="13" t="s">
        <v>16</v>
      </c>
      <c r="C274" s="5" t="s">
        <v>1105</v>
      </c>
      <c r="D274" s="5" t="s">
        <v>1106</v>
      </c>
      <c r="E274" s="5">
        <v>70</v>
      </c>
      <c r="F274" s="6" t="s">
        <v>1107</v>
      </c>
      <c r="G274" s="7">
        <v>9991650849</v>
      </c>
      <c r="H274" s="7" t="s">
        <v>1108</v>
      </c>
      <c r="I274" s="5" t="s">
        <v>72</v>
      </c>
      <c r="J274" s="5" t="s">
        <v>300</v>
      </c>
      <c r="K274" s="5" t="s">
        <v>233</v>
      </c>
      <c r="L274" s="16" t="s">
        <v>1109</v>
      </c>
      <c r="M274" s="4" t="s">
        <v>1110</v>
      </c>
      <c r="N274" s="5" t="s">
        <v>1111</v>
      </c>
      <c r="O274" s="5">
        <v>1</v>
      </c>
      <c r="P274" s="5">
        <v>0</v>
      </c>
      <c r="Q274" s="22">
        <f>_xlfn.XLOOKUP(H274, 'Anexo A'!$E$1:$E$77, 'Anexo A'!$I$1:$I$77, "", 0)</f>
        <v>45808</v>
      </c>
      <c r="R274" s="1"/>
      <c r="Y274" s="22"/>
    </row>
    <row r="275" spans="1:25" ht="54" x14ac:dyDescent="0.2">
      <c r="A275" s="4">
        <v>738</v>
      </c>
      <c r="B275" s="13" t="s">
        <v>16</v>
      </c>
      <c r="C275" s="5" t="s">
        <v>1105</v>
      </c>
      <c r="D275" s="5" t="s">
        <v>1106</v>
      </c>
      <c r="E275" s="5">
        <v>70</v>
      </c>
      <c r="F275" s="6" t="s">
        <v>1107</v>
      </c>
      <c r="G275" s="7">
        <v>9991650849</v>
      </c>
      <c r="H275" s="7" t="s">
        <v>1108</v>
      </c>
      <c r="I275" s="5" t="s">
        <v>21</v>
      </c>
      <c r="J275" s="5" t="s">
        <v>35</v>
      </c>
      <c r="K275" s="8" t="s">
        <v>23</v>
      </c>
      <c r="L275" s="16" t="s">
        <v>691</v>
      </c>
      <c r="M275" s="4" t="s">
        <v>1112</v>
      </c>
      <c r="N275" s="5" t="s">
        <v>1113</v>
      </c>
      <c r="O275" s="5">
        <v>1</v>
      </c>
      <c r="P275" s="5">
        <v>0</v>
      </c>
      <c r="Q275" s="22">
        <f>_xlfn.XLOOKUP(H275, 'Anexo A'!$E$1:$E$77, 'Anexo A'!$I$1:$I$77, "", 0)</f>
        <v>45808</v>
      </c>
      <c r="R275" s="1"/>
      <c r="Y275" s="22"/>
    </row>
    <row r="276" spans="1:25" ht="54" x14ac:dyDescent="0.2">
      <c r="A276" s="4">
        <v>738</v>
      </c>
      <c r="B276" s="13" t="s">
        <v>16</v>
      </c>
      <c r="C276" s="5" t="s">
        <v>1105</v>
      </c>
      <c r="D276" s="5" t="s">
        <v>1106</v>
      </c>
      <c r="E276" s="5">
        <v>70</v>
      </c>
      <c r="F276" s="6" t="s">
        <v>1107</v>
      </c>
      <c r="G276" s="7">
        <v>9991650849</v>
      </c>
      <c r="H276" s="7" t="s">
        <v>1108</v>
      </c>
      <c r="I276" s="5" t="s">
        <v>21</v>
      </c>
      <c r="J276" s="5" t="s">
        <v>356</v>
      </c>
      <c r="K276" s="8" t="s">
        <v>23</v>
      </c>
      <c r="L276" s="16" t="s">
        <v>564</v>
      </c>
      <c r="M276" s="4" t="s">
        <v>1114</v>
      </c>
      <c r="N276" s="5" t="s">
        <v>1115</v>
      </c>
      <c r="O276" s="5">
        <v>1</v>
      </c>
      <c r="P276" s="5">
        <v>0</v>
      </c>
      <c r="Q276" s="22">
        <f>_xlfn.XLOOKUP(H276, 'Anexo A'!$E$1:$E$77, 'Anexo A'!$I$1:$I$77, "", 0)</f>
        <v>45808</v>
      </c>
      <c r="R276" s="1"/>
      <c r="Y276" s="22"/>
    </row>
    <row r="277" spans="1:25" ht="54" x14ac:dyDescent="0.2">
      <c r="A277" s="4">
        <v>738</v>
      </c>
      <c r="B277" s="13" t="s">
        <v>16</v>
      </c>
      <c r="C277" s="5" t="s">
        <v>1105</v>
      </c>
      <c r="D277" s="5" t="s">
        <v>1106</v>
      </c>
      <c r="E277" s="5">
        <v>70</v>
      </c>
      <c r="F277" s="6" t="s">
        <v>1107</v>
      </c>
      <c r="G277" s="7">
        <v>9991650849</v>
      </c>
      <c r="H277" s="7" t="s">
        <v>1108</v>
      </c>
      <c r="I277" s="5" t="s">
        <v>21</v>
      </c>
      <c r="J277" s="5" t="s">
        <v>356</v>
      </c>
      <c r="K277" s="8" t="s">
        <v>23</v>
      </c>
      <c r="L277" s="16" t="s">
        <v>1116</v>
      </c>
      <c r="M277" s="4" t="s">
        <v>1117</v>
      </c>
      <c r="N277" s="5" t="s">
        <v>1118</v>
      </c>
      <c r="O277" s="5">
        <v>1</v>
      </c>
      <c r="P277" s="5">
        <v>0</v>
      </c>
      <c r="Q277" s="22">
        <f>_xlfn.XLOOKUP(H277, 'Anexo A'!$E$1:$E$77, 'Anexo A'!$I$1:$I$77, "", 0)</f>
        <v>45808</v>
      </c>
      <c r="R277" s="1"/>
      <c r="Y277" s="22"/>
    </row>
    <row r="278" spans="1:25" ht="54" x14ac:dyDescent="0.2">
      <c r="A278" s="4">
        <v>738</v>
      </c>
      <c r="B278" s="13" t="s">
        <v>16</v>
      </c>
      <c r="C278" s="5" t="s">
        <v>1105</v>
      </c>
      <c r="D278" s="5" t="s">
        <v>1106</v>
      </c>
      <c r="E278" s="5">
        <v>70</v>
      </c>
      <c r="F278" s="6" t="s">
        <v>1107</v>
      </c>
      <c r="G278" s="7">
        <v>9991650849</v>
      </c>
      <c r="H278" s="7" t="s">
        <v>1108</v>
      </c>
      <c r="I278" s="5" t="s">
        <v>964</v>
      </c>
      <c r="J278" s="5" t="s">
        <v>164</v>
      </c>
      <c r="K278" s="5" t="s">
        <v>1119</v>
      </c>
      <c r="L278" s="16" t="s">
        <v>1120</v>
      </c>
      <c r="M278" s="4" t="s">
        <v>1121</v>
      </c>
      <c r="N278" s="5" t="s">
        <v>1122</v>
      </c>
      <c r="O278" s="5">
        <v>0</v>
      </c>
      <c r="P278" s="5">
        <v>1</v>
      </c>
      <c r="Q278" s="22">
        <f>_xlfn.XLOOKUP(H278, 'Anexo A'!$E$1:$E$77, 'Anexo A'!$I$1:$I$77, "", 0)</f>
        <v>45808</v>
      </c>
      <c r="R278" s="1"/>
      <c r="Y278" s="22"/>
    </row>
    <row r="279" spans="1:25" ht="54" x14ac:dyDescent="0.2">
      <c r="A279" s="4">
        <v>738</v>
      </c>
      <c r="B279" s="13" t="s">
        <v>16</v>
      </c>
      <c r="C279" s="5" t="s">
        <v>1105</v>
      </c>
      <c r="D279" s="5" t="s">
        <v>1106</v>
      </c>
      <c r="E279" s="5">
        <v>70</v>
      </c>
      <c r="F279" s="6" t="s">
        <v>1107</v>
      </c>
      <c r="G279" s="7">
        <v>9991650849</v>
      </c>
      <c r="H279" s="7" t="s">
        <v>1108</v>
      </c>
      <c r="I279" s="5" t="s">
        <v>1051</v>
      </c>
      <c r="J279" s="5" t="s">
        <v>35</v>
      </c>
      <c r="K279" s="8" t="s">
        <v>481</v>
      </c>
      <c r="L279" s="9" t="s">
        <v>1123</v>
      </c>
      <c r="M279" s="4" t="s">
        <v>1124</v>
      </c>
      <c r="N279" s="5" t="s">
        <v>1125</v>
      </c>
      <c r="O279" s="5">
        <v>0</v>
      </c>
      <c r="P279" s="5">
        <v>1</v>
      </c>
      <c r="Q279" s="22">
        <f>_xlfn.XLOOKUP(H279, 'Anexo A'!$E$1:$E$77, 'Anexo A'!$I$1:$I$77, "", 0)</f>
        <v>45808</v>
      </c>
      <c r="R279" s="1"/>
      <c r="Y279" s="22"/>
    </row>
    <row r="280" spans="1:25" ht="54" x14ac:dyDescent="0.2">
      <c r="A280" s="4">
        <v>738</v>
      </c>
      <c r="B280" s="13" t="s">
        <v>16</v>
      </c>
      <c r="C280" s="5" t="s">
        <v>1126</v>
      </c>
      <c r="D280" s="5" t="s">
        <v>1127</v>
      </c>
      <c r="E280" s="5">
        <v>71</v>
      </c>
      <c r="F280" s="6" t="s">
        <v>1128</v>
      </c>
      <c r="G280" s="7">
        <v>9993437376</v>
      </c>
      <c r="H280" s="7" t="s">
        <v>1129</v>
      </c>
      <c r="I280" s="5" t="s">
        <v>21</v>
      </c>
      <c r="J280" s="5" t="s">
        <v>1130</v>
      </c>
      <c r="K280" s="5" t="s">
        <v>363</v>
      </c>
      <c r="L280" s="16" t="s">
        <v>718</v>
      </c>
      <c r="M280" s="4" t="s">
        <v>1131</v>
      </c>
      <c r="N280" s="5" t="s">
        <v>1132</v>
      </c>
      <c r="O280" s="5">
        <v>1</v>
      </c>
      <c r="P280" s="5">
        <v>0</v>
      </c>
      <c r="Q280" s="22">
        <f>_xlfn.XLOOKUP(H280, 'Anexo A'!$E$1:$E$77, 'Anexo A'!$I$1:$I$77, "", 0)</f>
        <v>45808</v>
      </c>
      <c r="R280" s="1"/>
      <c r="Y280" s="22"/>
    </row>
    <row r="281" spans="1:25" ht="54" x14ac:dyDescent="0.2">
      <c r="A281" s="4">
        <v>738</v>
      </c>
      <c r="B281" s="13" t="s">
        <v>16</v>
      </c>
      <c r="C281" s="5" t="s">
        <v>1126</v>
      </c>
      <c r="D281" s="5" t="s">
        <v>1127</v>
      </c>
      <c r="E281" s="5">
        <v>71</v>
      </c>
      <c r="F281" s="6" t="s">
        <v>1128</v>
      </c>
      <c r="G281" s="7">
        <v>9993437376</v>
      </c>
      <c r="H281" s="7" t="s">
        <v>1129</v>
      </c>
      <c r="I281" s="5" t="s">
        <v>1051</v>
      </c>
      <c r="J281" s="5" t="s">
        <v>1130</v>
      </c>
      <c r="K281" s="5" t="s">
        <v>136</v>
      </c>
      <c r="L281" s="16" t="s">
        <v>794</v>
      </c>
      <c r="M281" s="4" t="s">
        <v>568</v>
      </c>
      <c r="N281" s="5" t="s">
        <v>1133</v>
      </c>
      <c r="O281" s="5">
        <v>0</v>
      </c>
      <c r="P281" s="5">
        <v>1</v>
      </c>
      <c r="Q281" s="22">
        <f>_xlfn.XLOOKUP(H281, 'Anexo A'!$E$1:$E$77, 'Anexo A'!$I$1:$I$77, "", 0)</f>
        <v>45808</v>
      </c>
      <c r="R281" s="1"/>
      <c r="Y281" s="22"/>
    </row>
    <row r="282" spans="1:25" ht="54" x14ac:dyDescent="0.2">
      <c r="A282" s="4">
        <v>738</v>
      </c>
      <c r="B282" s="13" t="s">
        <v>16</v>
      </c>
      <c r="C282" s="5" t="s">
        <v>1126</v>
      </c>
      <c r="D282" s="5" t="s">
        <v>1127</v>
      </c>
      <c r="E282" s="5">
        <v>71</v>
      </c>
      <c r="F282" s="6" t="s">
        <v>1128</v>
      </c>
      <c r="G282" s="7">
        <v>9993437376</v>
      </c>
      <c r="H282" s="7" t="s">
        <v>1129</v>
      </c>
      <c r="I282" s="5" t="s">
        <v>1134</v>
      </c>
      <c r="J282" s="5">
        <v>20</v>
      </c>
      <c r="K282" s="5" t="s">
        <v>1135</v>
      </c>
      <c r="L282" s="16" t="s">
        <v>97</v>
      </c>
      <c r="M282" s="4">
        <v>65937</v>
      </c>
      <c r="N282" s="5" t="s">
        <v>1136</v>
      </c>
      <c r="O282" s="5">
        <v>0</v>
      </c>
      <c r="P282" s="5">
        <v>1</v>
      </c>
      <c r="Q282" s="22">
        <f>_xlfn.XLOOKUP(H282, 'Anexo A'!$E$1:$E$77, 'Anexo A'!$I$1:$I$77, "", 0)</f>
        <v>45808</v>
      </c>
      <c r="R282" s="1"/>
      <c r="Y282" s="22"/>
    </row>
    <row r="283" spans="1:25" ht="54" x14ac:dyDescent="0.2">
      <c r="A283" s="4">
        <v>738</v>
      </c>
      <c r="B283" s="13" t="s">
        <v>16</v>
      </c>
      <c r="C283" s="5" t="s">
        <v>1137</v>
      </c>
      <c r="D283" s="5" t="s">
        <v>1138</v>
      </c>
      <c r="E283" s="5">
        <v>72</v>
      </c>
      <c r="F283" s="6" t="s">
        <v>1139</v>
      </c>
      <c r="G283" s="7">
        <v>9993382222</v>
      </c>
      <c r="H283" s="7" t="s">
        <v>1140</v>
      </c>
      <c r="I283" s="5"/>
      <c r="J283" s="5"/>
      <c r="K283" s="5"/>
      <c r="L283" s="16"/>
      <c r="M283" s="4"/>
      <c r="N283" s="5"/>
      <c r="O283" s="5">
        <v>0</v>
      </c>
      <c r="P283" s="5">
        <v>0</v>
      </c>
      <c r="Q283" s="22">
        <f>_xlfn.XLOOKUP(H283, 'Anexo A'!$E$1:$E$77, 'Anexo A'!$I$1:$I$77, "", 0)</f>
        <v>45835</v>
      </c>
      <c r="R283" s="1"/>
      <c r="Y283" s="22"/>
    </row>
    <row r="284" spans="1:25" ht="54" x14ac:dyDescent="0.2">
      <c r="A284" s="4">
        <v>738</v>
      </c>
      <c r="B284" s="13" t="s">
        <v>16</v>
      </c>
      <c r="C284" s="5" t="s">
        <v>1141</v>
      </c>
      <c r="D284" s="5" t="s">
        <v>1142</v>
      </c>
      <c r="E284" s="5">
        <v>73</v>
      </c>
      <c r="F284" s="6" t="s">
        <v>1143</v>
      </c>
      <c r="G284" s="7" t="s">
        <v>1144</v>
      </c>
      <c r="H284" s="20" t="s">
        <v>1238</v>
      </c>
      <c r="I284" s="5"/>
      <c r="J284" s="5"/>
      <c r="K284" s="5"/>
      <c r="L284" s="16"/>
      <c r="M284" s="4"/>
      <c r="N284" s="5"/>
      <c r="O284" s="5">
        <v>0</v>
      </c>
      <c r="P284" s="5">
        <v>0</v>
      </c>
      <c r="Q284" s="22">
        <f>_xlfn.XLOOKUP(H284, 'Anexo A'!$E$1:$E$77, 'Anexo A'!$I$1:$I$77, "", 0)</f>
        <v>45864</v>
      </c>
      <c r="R284" s="1"/>
      <c r="Y284" s="22"/>
    </row>
    <row r="285" spans="1:25" ht="54" x14ac:dyDescent="0.2">
      <c r="A285" s="4">
        <v>738</v>
      </c>
      <c r="B285" s="13" t="s">
        <v>16</v>
      </c>
      <c r="C285" s="5" t="s">
        <v>1145</v>
      </c>
      <c r="D285" s="5" t="s">
        <v>1146</v>
      </c>
      <c r="E285" s="5">
        <v>74</v>
      </c>
      <c r="F285" s="6" t="s">
        <v>1143</v>
      </c>
      <c r="G285" s="7" t="s">
        <v>1147</v>
      </c>
      <c r="H285" s="7" t="s">
        <v>1148</v>
      </c>
      <c r="I285" s="5" t="s">
        <v>21</v>
      </c>
      <c r="J285" s="5" t="s">
        <v>45</v>
      </c>
      <c r="K285" s="5" t="s">
        <v>53</v>
      </c>
      <c r="L285" s="16" t="s">
        <v>54</v>
      </c>
      <c r="M285" s="4" t="s">
        <v>1149</v>
      </c>
      <c r="N285" s="5" t="s">
        <v>1150</v>
      </c>
      <c r="O285" s="5">
        <v>1</v>
      </c>
      <c r="P285" s="5">
        <v>0</v>
      </c>
      <c r="Q285" s="22">
        <f>_xlfn.XLOOKUP(H285, 'Anexo A'!$E$1:$E$77, 'Anexo A'!$I$1:$I$77, "", 0)</f>
        <v>45864</v>
      </c>
      <c r="R285" s="1"/>
      <c r="Y285" s="22"/>
    </row>
    <row r="286" spans="1:25" ht="54" x14ac:dyDescent="0.2">
      <c r="A286" s="4">
        <v>738</v>
      </c>
      <c r="B286" s="13" t="s">
        <v>16</v>
      </c>
      <c r="C286" s="5" t="s">
        <v>1151</v>
      </c>
      <c r="D286" s="5" t="s">
        <v>1152</v>
      </c>
      <c r="E286" s="5">
        <v>75</v>
      </c>
      <c r="F286" s="6" t="s">
        <v>1153</v>
      </c>
      <c r="G286" s="7" t="s">
        <v>1154</v>
      </c>
      <c r="H286" s="7" t="s">
        <v>1155</v>
      </c>
      <c r="I286" s="5"/>
      <c r="J286" s="5"/>
      <c r="K286" s="5"/>
      <c r="L286" s="16"/>
      <c r="M286" s="4"/>
      <c r="N286" s="5"/>
      <c r="O286" s="5">
        <v>0</v>
      </c>
      <c r="P286" s="5">
        <v>0</v>
      </c>
      <c r="Q286" s="22">
        <f>_xlfn.XLOOKUP(H286, 'Anexo A'!$E$1:$E$77, 'Anexo A'!$I$1:$I$77, "", 0)</f>
        <v>45899</v>
      </c>
      <c r="R286" s="1"/>
      <c r="Y286" s="22"/>
    </row>
    <row r="287" spans="1:25" ht="54" x14ac:dyDescent="0.2">
      <c r="A287" s="4">
        <v>738</v>
      </c>
      <c r="B287" s="13" t="s">
        <v>16</v>
      </c>
      <c r="C287" s="5" t="s">
        <v>1156</v>
      </c>
      <c r="D287" s="5" t="s">
        <v>1157</v>
      </c>
      <c r="E287" s="5">
        <v>76</v>
      </c>
      <c r="F287" s="6" t="s">
        <v>1158</v>
      </c>
      <c r="G287" s="7" t="s">
        <v>1159</v>
      </c>
      <c r="H287" s="7" t="s">
        <v>1160</v>
      </c>
      <c r="I287" s="5"/>
      <c r="J287" s="5"/>
      <c r="K287" s="5"/>
      <c r="L287" s="16"/>
      <c r="M287" s="4"/>
      <c r="N287" s="5"/>
      <c r="O287" s="5">
        <v>0</v>
      </c>
      <c r="P287" s="5">
        <v>0</v>
      </c>
      <c r="Q287" s="22">
        <f>_xlfn.XLOOKUP(H287, 'Anexo A'!$E$1:$E$77, 'Anexo A'!$I$1:$I$77, "", 0)</f>
        <v>46006</v>
      </c>
      <c r="R287" s="1"/>
      <c r="Y287" s="22"/>
    </row>
    <row r="288" spans="1:25" ht="17" x14ac:dyDescent="0.2">
      <c r="A288" s="19"/>
      <c r="B288" s="19"/>
      <c r="C288" s="19"/>
      <c r="D288" s="19"/>
      <c r="E288" s="19"/>
      <c r="F288" s="18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22"/>
      <c r="R288" s="1"/>
      <c r="Y288" s="22"/>
    </row>
    <row r="289" spans="1:25" ht="17" x14ac:dyDescent="0.2">
      <c r="A289" s="19"/>
      <c r="B289" s="19"/>
      <c r="C289" s="19"/>
      <c r="D289" s="19"/>
      <c r="E289" s="19"/>
      <c r="F289" s="18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22"/>
      <c r="R289" s="1"/>
      <c r="Y289" s="22"/>
    </row>
    <row r="290" spans="1:25" ht="17" x14ac:dyDescent="0.2">
      <c r="A290" s="19"/>
      <c r="B290" s="19"/>
      <c r="C290" s="19"/>
      <c r="D290" s="19"/>
      <c r="E290" s="19"/>
      <c r="F290" s="18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22"/>
      <c r="R290" s="1"/>
      <c r="Y290" s="22"/>
    </row>
    <row r="291" spans="1:25" ht="17" x14ac:dyDescent="0.2">
      <c r="A291" s="19"/>
      <c r="B291" s="19"/>
      <c r="C291" s="19"/>
      <c r="D291" s="19"/>
      <c r="E291" s="19"/>
      <c r="F291" s="18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22"/>
      <c r="R291" s="1"/>
      <c r="Y291" s="22"/>
    </row>
    <row r="292" spans="1:25" ht="17" x14ac:dyDescent="0.2">
      <c r="A292" s="19"/>
      <c r="B292" s="19"/>
      <c r="C292" s="19"/>
      <c r="D292" s="19"/>
      <c r="E292" s="19"/>
      <c r="F292" s="18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22"/>
      <c r="R292" s="1"/>
      <c r="Y292" s="22"/>
    </row>
    <row r="293" spans="1:25" ht="17" x14ac:dyDescent="0.2">
      <c r="A293" s="19"/>
      <c r="B293" s="19"/>
      <c r="C293" s="19"/>
      <c r="D293" s="19"/>
      <c r="E293" s="19"/>
      <c r="F293" s="18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22"/>
      <c r="R293" s="1"/>
      <c r="Y293" s="22"/>
    </row>
    <row r="294" spans="1:25" ht="17" x14ac:dyDescent="0.2">
      <c r="A294" s="19"/>
      <c r="B294" s="19"/>
      <c r="C294" s="19"/>
      <c r="D294" s="19"/>
      <c r="E294" s="19"/>
      <c r="F294" s="18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22"/>
      <c r="R294" s="1"/>
      <c r="Y294" s="22"/>
    </row>
    <row r="295" spans="1:25" ht="17" x14ac:dyDescent="0.2">
      <c r="A295" s="19"/>
      <c r="B295" s="19"/>
      <c r="C295" s="19"/>
      <c r="D295" s="19"/>
      <c r="E295" s="19"/>
      <c r="F295" s="18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22"/>
      <c r="R295" s="1"/>
      <c r="Y295" s="22"/>
    </row>
    <row r="296" spans="1:25" ht="17" x14ac:dyDescent="0.2">
      <c r="A296" s="19"/>
      <c r="B296" s="19"/>
      <c r="C296" s="19"/>
      <c r="D296" s="19"/>
      <c r="E296" s="19"/>
      <c r="F296" s="18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22"/>
      <c r="R296" s="1"/>
      <c r="Y296" s="22"/>
    </row>
    <row r="297" spans="1:25" ht="17" x14ac:dyDescent="0.2">
      <c r="A297" s="19"/>
      <c r="B297" s="19"/>
      <c r="C297" s="19"/>
      <c r="D297" s="19"/>
      <c r="E297" s="19"/>
      <c r="F297" s="18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22"/>
      <c r="R297" s="1"/>
      <c r="Y297" s="22"/>
    </row>
    <row r="298" spans="1:25" ht="17" x14ac:dyDescent="0.2">
      <c r="A298" s="19"/>
      <c r="B298" s="19"/>
      <c r="C298" s="19"/>
      <c r="D298" s="19"/>
      <c r="E298" s="19"/>
      <c r="F298" s="18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22"/>
      <c r="R298" s="1"/>
      <c r="Y298" s="22"/>
    </row>
    <row r="299" spans="1:25" ht="17" x14ac:dyDescent="0.2">
      <c r="A299" s="19"/>
      <c r="B299" s="19"/>
      <c r="C299" s="19"/>
      <c r="D299" s="19"/>
      <c r="E299" s="19"/>
      <c r="F299" s="18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22"/>
      <c r="R299" s="1"/>
      <c r="Y299" s="22"/>
    </row>
    <row r="300" spans="1:25" ht="17" x14ac:dyDescent="0.2">
      <c r="A300" s="19"/>
      <c r="B300" s="19"/>
      <c r="C300" s="19"/>
      <c r="D300" s="19"/>
      <c r="E300" s="19"/>
      <c r="F300" s="18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22"/>
      <c r="R300" s="1"/>
      <c r="Y300" s="22"/>
    </row>
    <row r="301" spans="1:25" ht="17" x14ac:dyDescent="0.2">
      <c r="A301" s="19"/>
      <c r="B301" s="19"/>
      <c r="C301" s="19"/>
      <c r="D301" s="19"/>
      <c r="E301" s="19"/>
      <c r="F301" s="18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22"/>
      <c r="R301" s="1"/>
      <c r="Y301" s="22"/>
    </row>
    <row r="302" spans="1:25" ht="17" x14ac:dyDescent="0.2">
      <c r="A302" s="19"/>
      <c r="B302" s="19"/>
      <c r="C302" s="19"/>
      <c r="D302" s="19"/>
      <c r="E302" s="19"/>
      <c r="F302" s="18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22"/>
      <c r="R302" s="1"/>
      <c r="Y302" s="22"/>
    </row>
    <row r="303" spans="1:25" ht="17" x14ac:dyDescent="0.2">
      <c r="A303" s="19"/>
      <c r="B303" s="19"/>
      <c r="C303" s="19"/>
      <c r="D303" s="19"/>
      <c r="E303" s="19"/>
      <c r="F303" s="18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22"/>
      <c r="R303" s="1"/>
      <c r="Y303" s="22"/>
    </row>
    <row r="304" spans="1:25" ht="17" x14ac:dyDescent="0.2">
      <c r="A304" s="19"/>
      <c r="B304" s="19"/>
      <c r="C304" s="19"/>
      <c r="D304" s="19"/>
      <c r="E304" s="19"/>
      <c r="F304" s="18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22"/>
      <c r="R304" s="1"/>
      <c r="Y304" s="22"/>
    </row>
    <row r="305" spans="1:25" ht="17" x14ac:dyDescent="0.2">
      <c r="A305" s="19"/>
      <c r="B305" s="19"/>
      <c r="C305" s="19"/>
      <c r="D305" s="19"/>
      <c r="E305" s="19"/>
      <c r="F305" s="18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22"/>
      <c r="R305" s="1"/>
      <c r="Y305" s="22"/>
    </row>
    <row r="306" spans="1:25" x14ac:dyDescent="0.2">
      <c r="A306" s="19"/>
      <c r="B306" s="19"/>
      <c r="C306" s="19"/>
      <c r="D306" s="19"/>
      <c r="E306" s="19"/>
      <c r="F306" s="18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23"/>
      <c r="R306" s="19"/>
    </row>
    <row r="307" spans="1:25" x14ac:dyDescent="0.2">
      <c r="A307" s="19"/>
      <c r="B307" s="19"/>
      <c r="C307" s="19"/>
      <c r="D307" s="19"/>
      <c r="E307" s="19"/>
      <c r="F307" s="18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23"/>
      <c r="R307" s="19"/>
    </row>
    <row r="308" spans="1:25" x14ac:dyDescent="0.2">
      <c r="A308" s="19"/>
      <c r="B308" s="19"/>
      <c r="C308" s="19"/>
      <c r="D308" s="19"/>
      <c r="E308" s="19"/>
      <c r="F308" s="18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23"/>
      <c r="R308" s="19"/>
    </row>
    <row r="309" spans="1:25" x14ac:dyDescent="0.2">
      <c r="A309" s="19"/>
      <c r="B309" s="19"/>
      <c r="C309" s="19"/>
      <c r="D309" s="19"/>
      <c r="E309" s="19"/>
      <c r="F309" s="18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23"/>
      <c r="R309" s="19"/>
    </row>
    <row r="310" spans="1:25" x14ac:dyDescent="0.2">
      <c r="A310" s="19"/>
      <c r="B310" s="19"/>
      <c r="C310" s="19"/>
      <c r="D310" s="19"/>
      <c r="E310" s="19"/>
      <c r="F310" s="18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23"/>
      <c r="R310" s="19"/>
    </row>
    <row r="311" spans="1:25" x14ac:dyDescent="0.2">
      <c r="A311" s="19"/>
      <c r="B311" s="19"/>
      <c r="C311" s="19"/>
      <c r="D311" s="19"/>
      <c r="E311" s="19"/>
      <c r="F311" s="18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23"/>
      <c r="R311" s="19"/>
    </row>
    <row r="312" spans="1:25" x14ac:dyDescent="0.2">
      <c r="A312" s="19"/>
      <c r="B312" s="19"/>
      <c r="C312" s="19"/>
      <c r="D312" s="19"/>
      <c r="E312" s="19"/>
      <c r="F312" s="18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23"/>
      <c r="R312" s="19"/>
    </row>
    <row r="313" spans="1:25" x14ac:dyDescent="0.2">
      <c r="A313" s="19"/>
      <c r="B313" s="19"/>
      <c r="C313" s="19"/>
      <c r="D313" s="19"/>
      <c r="E313" s="19"/>
      <c r="F313" s="18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23"/>
      <c r="R313" s="19"/>
    </row>
    <row r="314" spans="1:25" x14ac:dyDescent="0.2">
      <c r="A314" s="19"/>
      <c r="B314" s="19"/>
      <c r="C314" s="19"/>
      <c r="D314" s="19"/>
      <c r="E314" s="19"/>
      <c r="F314" s="18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23"/>
      <c r="R314" s="19"/>
    </row>
    <row r="315" spans="1:25" x14ac:dyDescent="0.2">
      <c r="A315" s="19"/>
      <c r="B315" s="19"/>
      <c r="C315" s="19"/>
      <c r="D315" s="19"/>
      <c r="E315" s="19"/>
      <c r="F315" s="18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23"/>
      <c r="R315" s="19"/>
    </row>
    <row r="316" spans="1:25" x14ac:dyDescent="0.2">
      <c r="A316" s="19"/>
      <c r="B316" s="19"/>
      <c r="C316" s="19"/>
      <c r="D316" s="19"/>
      <c r="E316" s="19"/>
      <c r="F316" s="18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23"/>
      <c r="R316" s="19"/>
    </row>
    <row r="317" spans="1:25" x14ac:dyDescent="0.2">
      <c r="A317" s="19"/>
      <c r="B317" s="19"/>
      <c r="C317" s="19"/>
      <c r="D317" s="19"/>
      <c r="E317" s="19"/>
      <c r="F317" s="18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23"/>
      <c r="R317" s="19"/>
    </row>
    <row r="318" spans="1:25" x14ac:dyDescent="0.2">
      <c r="A318" s="19"/>
      <c r="B318" s="19"/>
      <c r="C318" s="19"/>
      <c r="D318" s="19"/>
      <c r="E318" s="19"/>
      <c r="F318" s="18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23"/>
      <c r="R318" s="19"/>
    </row>
    <row r="319" spans="1:25" x14ac:dyDescent="0.2">
      <c r="A319" s="19"/>
      <c r="B319" s="19"/>
      <c r="C319" s="19"/>
      <c r="D319" s="19"/>
      <c r="E319" s="19"/>
      <c r="F319" s="18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23"/>
      <c r="R319" s="19"/>
    </row>
    <row r="320" spans="1:25" x14ac:dyDescent="0.2">
      <c r="A320" s="19"/>
      <c r="B320" s="19"/>
      <c r="C320" s="19"/>
      <c r="D320" s="19"/>
      <c r="E320" s="19"/>
      <c r="F320" s="18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23"/>
      <c r="R320" s="19"/>
    </row>
    <row r="321" spans="1:18" x14ac:dyDescent="0.2">
      <c r="A321" s="19"/>
      <c r="B321" s="19"/>
      <c r="C321" s="19"/>
      <c r="D321" s="19"/>
      <c r="E321" s="19"/>
      <c r="F321" s="18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23"/>
      <c r="R321" s="19"/>
    </row>
    <row r="322" spans="1:18" x14ac:dyDescent="0.2">
      <c r="A322" s="19"/>
      <c r="B322" s="19"/>
      <c r="C322" s="19"/>
      <c r="D322" s="19"/>
      <c r="E322" s="19"/>
      <c r="F322" s="18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23"/>
      <c r="R322" s="19"/>
    </row>
    <row r="323" spans="1:18" x14ac:dyDescent="0.2">
      <c r="A323" s="19"/>
      <c r="B323" s="19"/>
      <c r="C323" s="19"/>
      <c r="D323" s="19"/>
      <c r="E323" s="19"/>
      <c r="F323" s="18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23"/>
      <c r="R323" s="19"/>
    </row>
    <row r="324" spans="1:18" x14ac:dyDescent="0.2">
      <c r="A324" s="19"/>
      <c r="B324" s="19"/>
      <c r="C324" s="19"/>
      <c r="D324" s="19"/>
      <c r="E324" s="19"/>
      <c r="F324" s="18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23"/>
      <c r="R324" s="19"/>
    </row>
    <row r="325" spans="1:18" x14ac:dyDescent="0.2">
      <c r="A325" s="19"/>
      <c r="B325" s="19"/>
      <c r="C325" s="19"/>
      <c r="D325" s="19"/>
      <c r="E325" s="19"/>
      <c r="F325" s="18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23"/>
      <c r="R325" s="19"/>
    </row>
    <row r="326" spans="1:18" x14ac:dyDescent="0.2">
      <c r="A326" s="19"/>
      <c r="B326" s="19"/>
      <c r="C326" s="19"/>
      <c r="D326" s="19"/>
      <c r="E326" s="19"/>
      <c r="F326" s="18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23"/>
      <c r="R326" s="19"/>
    </row>
    <row r="327" spans="1:18" x14ac:dyDescent="0.2">
      <c r="A327" s="19"/>
      <c r="B327" s="19"/>
      <c r="C327" s="19"/>
      <c r="D327" s="19"/>
      <c r="E327" s="19"/>
      <c r="F327" s="18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23"/>
      <c r="R327" s="19"/>
    </row>
    <row r="328" spans="1:18" x14ac:dyDescent="0.2">
      <c r="A328" s="19"/>
      <c r="B328" s="19"/>
      <c r="C328" s="19"/>
      <c r="D328" s="19"/>
      <c r="E328" s="19"/>
      <c r="F328" s="18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23"/>
      <c r="R328" s="19"/>
    </row>
    <row r="329" spans="1:18" x14ac:dyDescent="0.2">
      <c r="A329" s="19"/>
      <c r="B329" s="19"/>
      <c r="C329" s="19"/>
      <c r="D329" s="19"/>
      <c r="E329" s="19"/>
      <c r="F329" s="18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23"/>
      <c r="R329" s="19"/>
    </row>
    <row r="330" spans="1:18" x14ac:dyDescent="0.2">
      <c r="A330" s="19"/>
      <c r="B330" s="19"/>
      <c r="C330" s="19"/>
      <c r="D330" s="19"/>
      <c r="E330" s="19"/>
      <c r="F330" s="18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23"/>
      <c r="R330" s="19"/>
    </row>
    <row r="331" spans="1:18" x14ac:dyDescent="0.2">
      <c r="A331" s="19"/>
      <c r="B331" s="19"/>
      <c r="C331" s="19"/>
      <c r="D331" s="19"/>
      <c r="E331" s="19"/>
      <c r="F331" s="18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23"/>
      <c r="R331" s="19"/>
    </row>
    <row r="332" spans="1:18" x14ac:dyDescent="0.2">
      <c r="A332" s="19"/>
      <c r="B332" s="19"/>
      <c r="C332" s="19"/>
      <c r="D332" s="19"/>
      <c r="E332" s="19"/>
      <c r="F332" s="18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23"/>
      <c r="R332" s="19"/>
    </row>
    <row r="333" spans="1:18" x14ac:dyDescent="0.2">
      <c r="A333" s="19"/>
      <c r="B333" s="19"/>
      <c r="C333" s="19"/>
      <c r="D333" s="19"/>
      <c r="E333" s="19"/>
      <c r="F333" s="18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23"/>
      <c r="R333" s="19"/>
    </row>
    <row r="334" spans="1:18" x14ac:dyDescent="0.2">
      <c r="A334" s="19"/>
      <c r="B334" s="19"/>
      <c r="C334" s="19"/>
      <c r="D334" s="19"/>
      <c r="E334" s="19"/>
      <c r="F334" s="18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23"/>
      <c r="R334" s="19"/>
    </row>
    <row r="335" spans="1:18" x14ac:dyDescent="0.2">
      <c r="A335" s="19"/>
      <c r="B335" s="19"/>
      <c r="C335" s="19"/>
      <c r="D335" s="19"/>
      <c r="E335" s="19"/>
      <c r="F335" s="18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23"/>
      <c r="R335" s="19"/>
    </row>
    <row r="336" spans="1:18" x14ac:dyDescent="0.2">
      <c r="A336" s="19"/>
      <c r="B336" s="19"/>
      <c r="C336" s="19"/>
      <c r="D336" s="19"/>
      <c r="E336" s="19"/>
      <c r="F336" s="18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23"/>
      <c r="R336" s="19"/>
    </row>
    <row r="337" spans="1:18" x14ac:dyDescent="0.2">
      <c r="A337" s="19"/>
      <c r="B337" s="19"/>
      <c r="C337" s="19"/>
      <c r="D337" s="19"/>
      <c r="E337" s="19"/>
      <c r="F337" s="18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23"/>
      <c r="R337" s="19"/>
    </row>
    <row r="338" spans="1:18" x14ac:dyDescent="0.2">
      <c r="A338" s="19"/>
      <c r="B338" s="19"/>
      <c r="C338" s="19"/>
      <c r="D338" s="19"/>
      <c r="E338" s="19"/>
      <c r="F338" s="18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23"/>
      <c r="R338" s="19"/>
    </row>
    <row r="339" spans="1:18" x14ac:dyDescent="0.2">
      <c r="A339" s="19"/>
      <c r="B339" s="19"/>
      <c r="C339" s="19"/>
      <c r="D339" s="19"/>
      <c r="E339" s="19"/>
      <c r="F339" s="18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23"/>
      <c r="R339" s="19"/>
    </row>
    <row r="340" spans="1:18" x14ac:dyDescent="0.2">
      <c r="A340" s="19"/>
      <c r="B340" s="19"/>
      <c r="C340" s="19"/>
      <c r="D340" s="19"/>
      <c r="E340" s="19"/>
      <c r="F340" s="18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23"/>
      <c r="R340" s="19"/>
    </row>
    <row r="341" spans="1:18" x14ac:dyDescent="0.2">
      <c r="A341" s="19"/>
      <c r="B341" s="19"/>
      <c r="C341" s="19"/>
      <c r="D341" s="19"/>
      <c r="E341" s="19"/>
      <c r="F341" s="18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23"/>
      <c r="R341" s="19"/>
    </row>
    <row r="342" spans="1:18" x14ac:dyDescent="0.2">
      <c r="A342" s="19"/>
      <c r="B342" s="19"/>
      <c r="C342" s="19"/>
      <c r="D342" s="19"/>
      <c r="E342" s="19"/>
      <c r="F342" s="18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23"/>
      <c r="R342" s="19"/>
    </row>
    <row r="343" spans="1:18" x14ac:dyDescent="0.2">
      <c r="A343" s="19"/>
      <c r="B343" s="19"/>
      <c r="C343" s="19"/>
      <c r="D343" s="19"/>
      <c r="E343" s="19"/>
      <c r="F343" s="18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23"/>
      <c r="R343" s="19"/>
    </row>
    <row r="344" spans="1:18" x14ac:dyDescent="0.2">
      <c r="A344" s="19"/>
      <c r="B344" s="19"/>
      <c r="C344" s="19"/>
      <c r="D344" s="19"/>
      <c r="E344" s="19"/>
      <c r="F344" s="18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23"/>
      <c r="R344" s="19"/>
    </row>
    <row r="345" spans="1:18" x14ac:dyDescent="0.2">
      <c r="A345" s="19"/>
      <c r="B345" s="19"/>
      <c r="C345" s="19"/>
      <c r="D345" s="19"/>
      <c r="E345" s="19"/>
      <c r="F345" s="18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23"/>
      <c r="R345" s="19"/>
    </row>
    <row r="346" spans="1:18" x14ac:dyDescent="0.2">
      <c r="A346" s="19"/>
      <c r="B346" s="19"/>
      <c r="C346" s="19"/>
      <c r="D346" s="19"/>
      <c r="E346" s="19"/>
      <c r="F346" s="18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23"/>
      <c r="R346" s="19"/>
    </row>
    <row r="347" spans="1:18" x14ac:dyDescent="0.2">
      <c r="A347" s="19"/>
      <c r="B347" s="19"/>
      <c r="C347" s="19"/>
      <c r="D347" s="19"/>
      <c r="E347" s="19"/>
      <c r="F347" s="18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23"/>
      <c r="R347" s="19"/>
    </row>
    <row r="348" spans="1:18" x14ac:dyDescent="0.2">
      <c r="A348" s="19"/>
      <c r="B348" s="19"/>
      <c r="C348" s="19"/>
      <c r="D348" s="19"/>
      <c r="E348" s="19"/>
      <c r="F348" s="18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23"/>
      <c r="R348" s="19"/>
    </row>
    <row r="349" spans="1:18" x14ac:dyDescent="0.2">
      <c r="A349" s="19"/>
      <c r="B349" s="19"/>
      <c r="C349" s="19"/>
      <c r="D349" s="19"/>
      <c r="E349" s="19"/>
      <c r="F349" s="18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23"/>
      <c r="R349" s="19"/>
    </row>
    <row r="350" spans="1:18" x14ac:dyDescent="0.2">
      <c r="A350" s="19"/>
      <c r="B350" s="19"/>
      <c r="C350" s="19"/>
      <c r="D350" s="19"/>
      <c r="E350" s="19"/>
      <c r="F350" s="18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23"/>
      <c r="R350" s="19"/>
    </row>
    <row r="351" spans="1:18" x14ac:dyDescent="0.2">
      <c r="A351" s="19"/>
      <c r="B351" s="19"/>
      <c r="C351" s="19"/>
      <c r="D351" s="19"/>
      <c r="E351" s="19"/>
      <c r="F351" s="18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23"/>
      <c r="R351" s="19"/>
    </row>
    <row r="352" spans="1:18" x14ac:dyDescent="0.2">
      <c r="A352" s="19"/>
      <c r="B352" s="19"/>
      <c r="C352" s="19"/>
      <c r="D352" s="19"/>
      <c r="E352" s="19"/>
      <c r="F352" s="18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23"/>
      <c r="R352" s="19"/>
    </row>
    <row r="353" spans="1:18" x14ac:dyDescent="0.2">
      <c r="A353" s="19"/>
      <c r="B353" s="19"/>
      <c r="C353" s="19"/>
      <c r="D353" s="19"/>
      <c r="E353" s="19"/>
      <c r="F353" s="18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23"/>
      <c r="R353" s="19"/>
    </row>
    <row r="354" spans="1:18" x14ac:dyDescent="0.2">
      <c r="A354" s="19"/>
      <c r="B354" s="19"/>
      <c r="C354" s="19"/>
      <c r="D354" s="19"/>
      <c r="E354" s="19"/>
      <c r="F354" s="18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23"/>
      <c r="R354" s="19"/>
    </row>
    <row r="355" spans="1:18" x14ac:dyDescent="0.2">
      <c r="A355" s="19"/>
      <c r="B355" s="19"/>
      <c r="C355" s="19"/>
      <c r="D355" s="19"/>
      <c r="E355" s="19"/>
      <c r="F355" s="18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23"/>
      <c r="R355" s="19"/>
    </row>
    <row r="356" spans="1:18" x14ac:dyDescent="0.2">
      <c r="A356" s="19"/>
      <c r="B356" s="19"/>
      <c r="C356" s="19"/>
      <c r="D356" s="19"/>
      <c r="E356" s="19"/>
      <c r="F356" s="18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23"/>
      <c r="R356" s="19"/>
    </row>
    <row r="357" spans="1:18" x14ac:dyDescent="0.2">
      <c r="A357" s="19"/>
      <c r="B357" s="19"/>
      <c r="C357" s="19"/>
      <c r="D357" s="19"/>
      <c r="E357" s="19"/>
      <c r="F357" s="18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23"/>
      <c r="R357" s="19"/>
    </row>
    <row r="358" spans="1:18" x14ac:dyDescent="0.2">
      <c r="A358" s="19"/>
      <c r="B358" s="19"/>
      <c r="C358" s="19"/>
      <c r="D358" s="19"/>
      <c r="E358" s="19"/>
      <c r="F358" s="18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23"/>
      <c r="R358" s="19"/>
    </row>
    <row r="359" spans="1:18" x14ac:dyDescent="0.2">
      <c r="A359" s="19"/>
      <c r="B359" s="19"/>
      <c r="C359" s="19"/>
      <c r="D359" s="19"/>
      <c r="E359" s="19"/>
      <c r="F359" s="18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23"/>
      <c r="R359" s="19"/>
    </row>
    <row r="360" spans="1:18" x14ac:dyDescent="0.2">
      <c r="A360" s="19"/>
      <c r="B360" s="19"/>
      <c r="C360" s="19"/>
      <c r="D360" s="19"/>
      <c r="E360" s="19"/>
      <c r="F360" s="18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23"/>
      <c r="R360" s="19"/>
    </row>
    <row r="361" spans="1:18" x14ac:dyDescent="0.2">
      <c r="A361" s="19"/>
      <c r="B361" s="19"/>
      <c r="C361" s="19"/>
      <c r="D361" s="19"/>
      <c r="E361" s="19"/>
      <c r="F361" s="18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23"/>
      <c r="R361" s="19"/>
    </row>
    <row r="362" spans="1:18" x14ac:dyDescent="0.2">
      <c r="A362" s="19"/>
      <c r="B362" s="19"/>
      <c r="C362" s="19"/>
      <c r="D362" s="19"/>
      <c r="E362" s="19"/>
      <c r="F362" s="18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23"/>
      <c r="R362" s="19"/>
    </row>
    <row r="363" spans="1:18" x14ac:dyDescent="0.2">
      <c r="A363" s="19"/>
      <c r="B363" s="19"/>
      <c r="C363" s="19"/>
      <c r="D363" s="19"/>
      <c r="E363" s="19"/>
      <c r="F363" s="18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23"/>
      <c r="R363" s="19"/>
    </row>
    <row r="364" spans="1:18" x14ac:dyDescent="0.2">
      <c r="A364" s="19"/>
      <c r="B364" s="19"/>
      <c r="C364" s="19"/>
      <c r="D364" s="19"/>
      <c r="E364" s="19"/>
      <c r="F364" s="18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23"/>
      <c r="R364" s="19"/>
    </row>
    <row r="365" spans="1:18" x14ac:dyDescent="0.2">
      <c r="A365" s="19"/>
      <c r="B365" s="19"/>
      <c r="C365" s="19"/>
      <c r="D365" s="19"/>
      <c r="E365" s="19"/>
      <c r="F365" s="18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23"/>
      <c r="R365" s="19"/>
    </row>
    <row r="366" spans="1:18" x14ac:dyDescent="0.2">
      <c r="A366" s="19"/>
      <c r="B366" s="19"/>
      <c r="C366" s="19"/>
      <c r="D366" s="19"/>
      <c r="E366" s="19"/>
      <c r="F366" s="18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23"/>
      <c r="R366" s="19"/>
    </row>
    <row r="367" spans="1:18" x14ac:dyDescent="0.2">
      <c r="A367" s="19"/>
      <c r="B367" s="19"/>
      <c r="C367" s="19"/>
      <c r="D367" s="19"/>
      <c r="E367" s="19"/>
      <c r="F367" s="18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23"/>
      <c r="R367" s="19"/>
    </row>
    <row r="368" spans="1:18" x14ac:dyDescent="0.2">
      <c r="A368" s="19"/>
      <c r="B368" s="19"/>
      <c r="C368" s="19"/>
      <c r="D368" s="19"/>
      <c r="E368" s="19"/>
      <c r="F368" s="18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23"/>
      <c r="R368" s="19"/>
    </row>
    <row r="369" spans="1:18" x14ac:dyDescent="0.2">
      <c r="A369" s="19"/>
      <c r="B369" s="19"/>
      <c r="C369" s="19"/>
      <c r="D369" s="19"/>
      <c r="E369" s="19"/>
      <c r="F369" s="18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23"/>
      <c r="R369" s="19"/>
    </row>
    <row r="370" spans="1:18" x14ac:dyDescent="0.2">
      <c r="A370" s="19"/>
      <c r="B370" s="19"/>
      <c r="C370" s="19"/>
      <c r="D370" s="19"/>
      <c r="E370" s="19"/>
      <c r="F370" s="18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23"/>
      <c r="R370" s="19"/>
    </row>
    <row r="371" spans="1:18" x14ac:dyDescent="0.2">
      <c r="A371" s="19"/>
      <c r="B371" s="19"/>
      <c r="C371" s="19"/>
      <c r="D371" s="19"/>
      <c r="E371" s="19"/>
      <c r="F371" s="18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23"/>
      <c r="R371" s="19"/>
    </row>
    <row r="372" spans="1:18" x14ac:dyDescent="0.2">
      <c r="A372" s="19"/>
      <c r="B372" s="19"/>
      <c r="C372" s="19"/>
      <c r="D372" s="19"/>
      <c r="E372" s="19"/>
      <c r="F372" s="18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23"/>
      <c r="R372" s="19"/>
    </row>
    <row r="373" spans="1:18" x14ac:dyDescent="0.2">
      <c r="A373" s="19"/>
      <c r="B373" s="19"/>
      <c r="C373" s="19"/>
      <c r="D373" s="19"/>
      <c r="E373" s="19"/>
      <c r="F373" s="18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23"/>
      <c r="R373" s="19"/>
    </row>
    <row r="374" spans="1:18" x14ac:dyDescent="0.2">
      <c r="A374" s="19"/>
      <c r="B374" s="19"/>
      <c r="C374" s="19"/>
      <c r="D374" s="19"/>
      <c r="E374" s="19"/>
      <c r="F374" s="18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23"/>
      <c r="R374" s="19"/>
    </row>
    <row r="375" spans="1:18" x14ac:dyDescent="0.2">
      <c r="A375" s="19"/>
      <c r="B375" s="19"/>
      <c r="C375" s="19"/>
      <c r="D375" s="19"/>
      <c r="E375" s="19"/>
      <c r="F375" s="18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23"/>
      <c r="R375" s="19"/>
    </row>
    <row r="376" spans="1:18" x14ac:dyDescent="0.2">
      <c r="A376" s="19"/>
      <c r="B376" s="19"/>
      <c r="C376" s="19"/>
      <c r="D376" s="19"/>
      <c r="E376" s="19"/>
      <c r="F376" s="18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23"/>
      <c r="R376" s="19"/>
    </row>
    <row r="377" spans="1:18" x14ac:dyDescent="0.2">
      <c r="A377" s="19"/>
      <c r="B377" s="19"/>
      <c r="C377" s="19"/>
      <c r="D377" s="19"/>
      <c r="E377" s="19"/>
      <c r="F377" s="18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23"/>
      <c r="R377" s="19"/>
    </row>
    <row r="378" spans="1:18" x14ac:dyDescent="0.2">
      <c r="A378" s="19"/>
      <c r="B378" s="19"/>
      <c r="C378" s="19"/>
      <c r="D378" s="19"/>
      <c r="E378" s="19"/>
      <c r="F378" s="18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23"/>
      <c r="R378" s="19"/>
    </row>
    <row r="379" spans="1:18" x14ac:dyDescent="0.2">
      <c r="A379" s="19"/>
      <c r="B379" s="19"/>
      <c r="C379" s="19"/>
      <c r="D379" s="19"/>
      <c r="E379" s="19"/>
      <c r="F379" s="18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23"/>
      <c r="R379" s="19"/>
    </row>
    <row r="380" spans="1:18" x14ac:dyDescent="0.2">
      <c r="A380" s="19"/>
      <c r="B380" s="19"/>
      <c r="C380" s="19"/>
      <c r="D380" s="19"/>
      <c r="E380" s="19"/>
      <c r="F380" s="18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23"/>
      <c r="R380" s="19"/>
    </row>
    <row r="381" spans="1:18" x14ac:dyDescent="0.2">
      <c r="A381" s="19"/>
      <c r="B381" s="19"/>
      <c r="C381" s="19"/>
      <c r="D381" s="19"/>
      <c r="E381" s="19"/>
      <c r="F381" s="18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23"/>
      <c r="R381" s="19"/>
    </row>
    <row r="382" spans="1:18" x14ac:dyDescent="0.2">
      <c r="A382" s="19"/>
      <c r="B382" s="19"/>
      <c r="C382" s="19"/>
      <c r="D382" s="19"/>
      <c r="E382" s="19"/>
      <c r="F382" s="18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23"/>
      <c r="R382" s="19"/>
    </row>
    <row r="383" spans="1:18" x14ac:dyDescent="0.2">
      <c r="A383" s="19"/>
      <c r="B383" s="19"/>
      <c r="C383" s="19"/>
      <c r="D383" s="19"/>
      <c r="E383" s="19"/>
      <c r="F383" s="18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23"/>
      <c r="R383" s="19"/>
    </row>
    <row r="384" spans="1:18" x14ac:dyDescent="0.2">
      <c r="A384" s="19"/>
      <c r="B384" s="19"/>
      <c r="C384" s="19"/>
      <c r="D384" s="19"/>
      <c r="E384" s="19"/>
      <c r="F384" s="18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23"/>
      <c r="R384" s="19"/>
    </row>
    <row r="385" spans="1:18" x14ac:dyDescent="0.2">
      <c r="A385" s="19"/>
      <c r="B385" s="19"/>
      <c r="C385" s="19"/>
      <c r="D385" s="19"/>
      <c r="E385" s="19"/>
      <c r="F385" s="18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23"/>
      <c r="R385" s="19"/>
    </row>
    <row r="386" spans="1:18" x14ac:dyDescent="0.2">
      <c r="A386" s="19"/>
      <c r="B386" s="19"/>
      <c r="C386" s="19"/>
      <c r="D386" s="19"/>
      <c r="E386" s="19"/>
      <c r="F386" s="18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23"/>
      <c r="R386" s="19"/>
    </row>
    <row r="387" spans="1:18" x14ac:dyDescent="0.2">
      <c r="A387" s="19"/>
      <c r="B387" s="19"/>
      <c r="C387" s="19"/>
      <c r="D387" s="19"/>
      <c r="E387" s="19"/>
      <c r="F387" s="18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23"/>
      <c r="R387" s="19"/>
    </row>
    <row r="388" spans="1:18" x14ac:dyDescent="0.2">
      <c r="A388" s="19"/>
      <c r="B388" s="19"/>
      <c r="C388" s="19"/>
      <c r="D388" s="19"/>
      <c r="E388" s="19"/>
      <c r="F388" s="18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23"/>
      <c r="R388" s="19"/>
    </row>
    <row r="389" spans="1:18" x14ac:dyDescent="0.2">
      <c r="A389" s="19"/>
      <c r="B389" s="19"/>
      <c r="C389" s="19"/>
      <c r="D389" s="19"/>
      <c r="E389" s="19"/>
      <c r="F389" s="18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23"/>
      <c r="R389" s="19"/>
    </row>
    <row r="390" spans="1:18" x14ac:dyDescent="0.2">
      <c r="A390" s="19"/>
      <c r="B390" s="19"/>
      <c r="C390" s="19"/>
      <c r="D390" s="19"/>
      <c r="E390" s="19"/>
      <c r="F390" s="18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23"/>
      <c r="R390" s="19"/>
    </row>
    <row r="391" spans="1:18" x14ac:dyDescent="0.2">
      <c r="A391" s="19"/>
      <c r="B391" s="19"/>
      <c r="C391" s="19"/>
      <c r="D391" s="19"/>
      <c r="E391" s="19"/>
      <c r="F391" s="18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23"/>
      <c r="R391" s="19"/>
    </row>
    <row r="392" spans="1:18" x14ac:dyDescent="0.2">
      <c r="A392" s="19"/>
      <c r="B392" s="19"/>
      <c r="C392" s="19"/>
      <c r="D392" s="19"/>
      <c r="E392" s="19"/>
      <c r="F392" s="18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23"/>
      <c r="R392" s="19"/>
    </row>
    <row r="393" spans="1:18" x14ac:dyDescent="0.2">
      <c r="A393" s="19"/>
      <c r="B393" s="19"/>
      <c r="C393" s="19"/>
      <c r="D393" s="19"/>
      <c r="E393" s="19"/>
      <c r="F393" s="18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23"/>
      <c r="R393" s="19"/>
    </row>
    <row r="394" spans="1:18" x14ac:dyDescent="0.2">
      <c r="A394" s="19"/>
      <c r="B394" s="19"/>
      <c r="C394" s="19"/>
      <c r="D394" s="19"/>
      <c r="E394" s="19"/>
      <c r="F394" s="18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23"/>
      <c r="R394" s="19"/>
    </row>
    <row r="395" spans="1:18" x14ac:dyDescent="0.2">
      <c r="A395" s="19"/>
      <c r="B395" s="19"/>
      <c r="C395" s="19"/>
      <c r="D395" s="19"/>
      <c r="E395" s="19"/>
      <c r="F395" s="18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23"/>
      <c r="R395" s="19"/>
    </row>
    <row r="396" spans="1:18" x14ac:dyDescent="0.2">
      <c r="A396" s="19"/>
      <c r="B396" s="19"/>
      <c r="C396" s="19"/>
      <c r="D396" s="19"/>
      <c r="E396" s="19"/>
      <c r="F396" s="18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23"/>
      <c r="R396" s="19"/>
    </row>
    <row r="397" spans="1:18" x14ac:dyDescent="0.2">
      <c r="A397" s="19"/>
      <c r="B397" s="19"/>
      <c r="C397" s="19"/>
      <c r="D397" s="19"/>
      <c r="E397" s="19"/>
      <c r="F397" s="18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23"/>
      <c r="R397" s="19"/>
    </row>
    <row r="398" spans="1:18" x14ac:dyDescent="0.2">
      <c r="A398" s="19"/>
      <c r="B398" s="19"/>
      <c r="C398" s="19"/>
      <c r="D398" s="19"/>
      <c r="E398" s="19"/>
      <c r="F398" s="18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23"/>
      <c r="R398" s="19"/>
    </row>
    <row r="399" spans="1:18" x14ac:dyDescent="0.2">
      <c r="A399" s="19"/>
      <c r="B399" s="19"/>
      <c r="C399" s="19"/>
      <c r="D399" s="19"/>
      <c r="E399" s="19"/>
      <c r="F399" s="18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23"/>
      <c r="R399" s="19"/>
    </row>
    <row r="400" spans="1:18" x14ac:dyDescent="0.2">
      <c r="A400" s="19"/>
      <c r="B400" s="19"/>
      <c r="C400" s="19"/>
      <c r="D400" s="19"/>
      <c r="E400" s="19"/>
      <c r="F400" s="18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23"/>
      <c r="R400" s="19"/>
    </row>
    <row r="401" spans="1:18" x14ac:dyDescent="0.2">
      <c r="A401" s="19"/>
      <c r="B401" s="19"/>
      <c r="C401" s="19"/>
      <c r="D401" s="19"/>
      <c r="E401" s="19"/>
      <c r="F401" s="18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23"/>
      <c r="R401" s="19"/>
    </row>
    <row r="402" spans="1:18" x14ac:dyDescent="0.2">
      <c r="A402" s="19"/>
      <c r="B402" s="19"/>
      <c r="C402" s="19"/>
      <c r="D402" s="19"/>
      <c r="E402" s="19"/>
      <c r="F402" s="18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23"/>
      <c r="R402" s="19"/>
    </row>
    <row r="403" spans="1:18" x14ac:dyDescent="0.2">
      <c r="A403" s="19"/>
      <c r="B403" s="19"/>
      <c r="C403" s="19"/>
      <c r="D403" s="19"/>
      <c r="E403" s="19"/>
      <c r="F403" s="18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23"/>
      <c r="R403" s="19"/>
    </row>
    <row r="404" spans="1:18" x14ac:dyDescent="0.2">
      <c r="A404" s="19"/>
      <c r="B404" s="19"/>
      <c r="C404" s="19"/>
      <c r="D404" s="19"/>
      <c r="E404" s="19"/>
      <c r="F404" s="18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23"/>
      <c r="R404" s="19"/>
    </row>
    <row r="405" spans="1:18" x14ac:dyDescent="0.2">
      <c r="A405" s="19"/>
      <c r="B405" s="19"/>
      <c r="C405" s="19"/>
      <c r="D405" s="19"/>
      <c r="E405" s="19"/>
      <c r="F405" s="18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23"/>
      <c r="R405" s="19"/>
    </row>
    <row r="406" spans="1:18" x14ac:dyDescent="0.2">
      <c r="A406" s="19"/>
      <c r="B406" s="19"/>
      <c r="C406" s="19"/>
      <c r="D406" s="19"/>
      <c r="E406" s="19"/>
      <c r="F406" s="18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23"/>
      <c r="R406" s="19"/>
    </row>
    <row r="407" spans="1:18" x14ac:dyDescent="0.2">
      <c r="A407" s="19"/>
      <c r="B407" s="19"/>
      <c r="C407" s="19"/>
      <c r="D407" s="19"/>
      <c r="E407" s="19"/>
      <c r="F407" s="18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23"/>
      <c r="R407" s="19"/>
    </row>
    <row r="408" spans="1:18" x14ac:dyDescent="0.2">
      <c r="A408" s="19"/>
      <c r="B408" s="19"/>
      <c r="C408" s="19"/>
      <c r="D408" s="19"/>
      <c r="E408" s="19"/>
      <c r="F408" s="18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23"/>
      <c r="R408" s="19"/>
    </row>
    <row r="409" spans="1:18" x14ac:dyDescent="0.2">
      <c r="A409" s="19"/>
      <c r="B409" s="19"/>
      <c r="C409" s="19"/>
      <c r="D409" s="19"/>
      <c r="E409" s="19"/>
      <c r="F409" s="18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23"/>
      <c r="R409" s="19"/>
    </row>
    <row r="410" spans="1:18" x14ac:dyDescent="0.2">
      <c r="A410" s="19"/>
      <c r="B410" s="19"/>
      <c r="C410" s="19"/>
      <c r="D410" s="19"/>
      <c r="E410" s="19"/>
      <c r="F410" s="18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23"/>
      <c r="R410" s="19"/>
    </row>
    <row r="411" spans="1:18" x14ac:dyDescent="0.2">
      <c r="A411" s="19"/>
      <c r="B411" s="19"/>
      <c r="C411" s="19"/>
      <c r="D411" s="19"/>
      <c r="E411" s="19"/>
      <c r="F411" s="18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23"/>
      <c r="R411" s="19"/>
    </row>
    <row r="412" spans="1:18" x14ac:dyDescent="0.2">
      <c r="A412" s="19"/>
      <c r="B412" s="19"/>
      <c r="C412" s="19"/>
      <c r="D412" s="19"/>
      <c r="E412" s="19"/>
      <c r="F412" s="18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23"/>
      <c r="R412" s="19"/>
    </row>
    <row r="413" spans="1:18" x14ac:dyDescent="0.2">
      <c r="A413" s="19"/>
      <c r="B413" s="19"/>
      <c r="C413" s="19"/>
      <c r="D413" s="19"/>
      <c r="E413" s="19"/>
      <c r="F413" s="18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23"/>
      <c r="R413" s="19"/>
    </row>
    <row r="414" spans="1:18" x14ac:dyDescent="0.2">
      <c r="A414" s="19"/>
      <c r="B414" s="19"/>
      <c r="C414" s="19"/>
      <c r="D414" s="19"/>
      <c r="E414" s="19"/>
      <c r="F414" s="18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23"/>
      <c r="R414" s="19"/>
    </row>
    <row r="415" spans="1:18" x14ac:dyDescent="0.2">
      <c r="A415" s="19"/>
      <c r="B415" s="19"/>
      <c r="C415" s="19"/>
      <c r="D415" s="19"/>
      <c r="E415" s="19"/>
      <c r="F415" s="18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23"/>
      <c r="R415" s="19"/>
    </row>
    <row r="416" spans="1:18" x14ac:dyDescent="0.2">
      <c r="A416" s="19"/>
      <c r="B416" s="19"/>
      <c r="C416" s="19"/>
      <c r="D416" s="19"/>
      <c r="E416" s="19"/>
      <c r="F416" s="18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23"/>
      <c r="R416" s="19"/>
    </row>
    <row r="417" spans="1:18" x14ac:dyDescent="0.2">
      <c r="A417" s="19"/>
      <c r="B417" s="19"/>
      <c r="C417" s="19"/>
      <c r="D417" s="19"/>
      <c r="E417" s="19"/>
      <c r="F417" s="18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23"/>
      <c r="R417" s="19"/>
    </row>
    <row r="418" spans="1:18" x14ac:dyDescent="0.2">
      <c r="A418" s="19"/>
      <c r="B418" s="19"/>
      <c r="C418" s="19"/>
      <c r="D418" s="19"/>
      <c r="E418" s="19"/>
      <c r="F418" s="18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23"/>
      <c r="R418" s="19"/>
    </row>
    <row r="419" spans="1:18" x14ac:dyDescent="0.2">
      <c r="A419" s="19"/>
      <c r="B419" s="19"/>
      <c r="C419" s="19"/>
      <c r="D419" s="19"/>
      <c r="E419" s="19"/>
      <c r="F419" s="18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23"/>
      <c r="R419" s="19"/>
    </row>
    <row r="420" spans="1:18" x14ac:dyDescent="0.2">
      <c r="A420" s="19"/>
      <c r="B420" s="19"/>
      <c r="C420" s="19"/>
      <c r="D420" s="19"/>
      <c r="E420" s="19"/>
      <c r="F420" s="18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23"/>
      <c r="R420" s="19"/>
    </row>
    <row r="421" spans="1:18" x14ac:dyDescent="0.2">
      <c r="A421" s="19"/>
      <c r="B421" s="19"/>
      <c r="C421" s="19"/>
      <c r="D421" s="19"/>
      <c r="E421" s="19"/>
      <c r="F421" s="18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23"/>
      <c r="R421" s="19"/>
    </row>
    <row r="422" spans="1:18" x14ac:dyDescent="0.2">
      <c r="A422" s="19"/>
      <c r="B422" s="19"/>
      <c r="C422" s="19"/>
      <c r="D422" s="19"/>
      <c r="E422" s="19"/>
      <c r="F422" s="18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23"/>
      <c r="R422" s="19"/>
    </row>
    <row r="423" spans="1:18" x14ac:dyDescent="0.2">
      <c r="A423" s="19"/>
      <c r="B423" s="19"/>
      <c r="C423" s="19"/>
      <c r="D423" s="19"/>
      <c r="E423" s="19"/>
      <c r="F423" s="18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23"/>
      <c r="R423" s="19"/>
    </row>
    <row r="424" spans="1:18" x14ac:dyDescent="0.2">
      <c r="A424" s="19"/>
      <c r="B424" s="19"/>
      <c r="C424" s="19"/>
      <c r="D424" s="19"/>
      <c r="E424" s="19"/>
      <c r="F424" s="18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23"/>
      <c r="R424" s="19"/>
    </row>
    <row r="425" spans="1:18" x14ac:dyDescent="0.2">
      <c r="A425" s="19"/>
      <c r="B425" s="19"/>
      <c r="C425" s="19"/>
      <c r="D425" s="19"/>
      <c r="E425" s="19"/>
      <c r="F425" s="18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23"/>
      <c r="R425" s="19"/>
    </row>
    <row r="426" spans="1:18" x14ac:dyDescent="0.2">
      <c r="A426" s="19"/>
      <c r="B426" s="19"/>
      <c r="C426" s="19"/>
      <c r="D426" s="19"/>
      <c r="E426" s="19"/>
      <c r="F426" s="18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23"/>
      <c r="R426" s="19"/>
    </row>
    <row r="427" spans="1:18" x14ac:dyDescent="0.2">
      <c r="A427" s="19"/>
      <c r="B427" s="19"/>
      <c r="C427" s="19"/>
      <c r="D427" s="19"/>
      <c r="E427" s="19"/>
      <c r="F427" s="18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23"/>
      <c r="R427" s="19"/>
    </row>
    <row r="428" spans="1:18" x14ac:dyDescent="0.2">
      <c r="A428" s="19"/>
      <c r="B428" s="19"/>
      <c r="C428" s="19"/>
      <c r="D428" s="19"/>
      <c r="E428" s="19"/>
      <c r="F428" s="18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23"/>
      <c r="R428" s="19"/>
    </row>
    <row r="429" spans="1:18" x14ac:dyDescent="0.2">
      <c r="A429" s="19"/>
      <c r="B429" s="19"/>
      <c r="C429" s="19"/>
      <c r="D429" s="19"/>
      <c r="E429" s="19"/>
      <c r="F429" s="18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23"/>
      <c r="R429" s="19"/>
    </row>
    <row r="430" spans="1:18" x14ac:dyDescent="0.2">
      <c r="A430" s="19"/>
      <c r="B430" s="19"/>
      <c r="C430" s="19"/>
      <c r="D430" s="19"/>
      <c r="E430" s="19"/>
      <c r="F430" s="18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23"/>
      <c r="R430" s="19"/>
    </row>
    <row r="431" spans="1:18" x14ac:dyDescent="0.2">
      <c r="A431" s="19"/>
      <c r="B431" s="19"/>
      <c r="C431" s="19"/>
      <c r="D431" s="19"/>
      <c r="E431" s="19"/>
      <c r="F431" s="18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23"/>
      <c r="R431" s="19"/>
    </row>
    <row r="432" spans="1:18" x14ac:dyDescent="0.2">
      <c r="A432" s="19"/>
      <c r="B432" s="19"/>
      <c r="C432" s="19"/>
      <c r="D432" s="19"/>
      <c r="E432" s="19"/>
      <c r="F432" s="18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23"/>
      <c r="R432" s="19"/>
    </row>
    <row r="433" spans="1:18" x14ac:dyDescent="0.2">
      <c r="A433" s="19"/>
      <c r="B433" s="19"/>
      <c r="C433" s="19"/>
      <c r="D433" s="19"/>
      <c r="E433" s="19"/>
      <c r="F433" s="18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23"/>
      <c r="R433" s="19"/>
    </row>
    <row r="434" spans="1:18" x14ac:dyDescent="0.2">
      <c r="A434" s="19"/>
      <c r="B434" s="19"/>
      <c r="C434" s="19"/>
      <c r="D434" s="19"/>
      <c r="E434" s="19"/>
      <c r="F434" s="18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23"/>
      <c r="R434" s="19"/>
    </row>
    <row r="435" spans="1:18" x14ac:dyDescent="0.2">
      <c r="A435" s="19"/>
      <c r="B435" s="19"/>
      <c r="C435" s="19"/>
      <c r="D435" s="19"/>
      <c r="E435" s="19"/>
      <c r="F435" s="18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23"/>
      <c r="R435" s="19"/>
    </row>
    <row r="436" spans="1:18" x14ac:dyDescent="0.2">
      <c r="A436" s="19"/>
      <c r="B436" s="19"/>
      <c r="C436" s="19"/>
      <c r="D436" s="19"/>
      <c r="E436" s="19"/>
      <c r="F436" s="18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23"/>
      <c r="R436" s="19"/>
    </row>
    <row r="437" spans="1:18" x14ac:dyDescent="0.2">
      <c r="A437" s="19"/>
      <c r="B437" s="19"/>
      <c r="C437" s="19"/>
      <c r="D437" s="19"/>
      <c r="E437" s="19"/>
      <c r="F437" s="18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23"/>
      <c r="R437" s="19"/>
    </row>
    <row r="438" spans="1:18" x14ac:dyDescent="0.2">
      <c r="A438" s="19"/>
      <c r="B438" s="19"/>
      <c r="C438" s="19"/>
      <c r="D438" s="19"/>
      <c r="E438" s="19"/>
      <c r="F438" s="18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23"/>
      <c r="R438" s="19"/>
    </row>
    <row r="439" spans="1:18" x14ac:dyDescent="0.2">
      <c r="A439" s="19"/>
      <c r="B439" s="19"/>
      <c r="C439" s="19"/>
      <c r="D439" s="19"/>
      <c r="E439" s="19"/>
      <c r="F439" s="18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23"/>
      <c r="R439" s="19"/>
    </row>
    <row r="440" spans="1:18" x14ac:dyDescent="0.2">
      <c r="A440" s="19"/>
      <c r="B440" s="19"/>
      <c r="C440" s="19"/>
      <c r="D440" s="19"/>
      <c r="E440" s="19"/>
      <c r="F440" s="18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23"/>
      <c r="R440" s="19"/>
    </row>
    <row r="441" spans="1:18" x14ac:dyDescent="0.2">
      <c r="A441" s="19"/>
      <c r="B441" s="19"/>
      <c r="C441" s="19"/>
      <c r="D441" s="19"/>
      <c r="E441" s="19"/>
      <c r="F441" s="18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23"/>
      <c r="R441" s="19"/>
    </row>
    <row r="442" spans="1:18" x14ac:dyDescent="0.2">
      <c r="A442" s="19"/>
      <c r="B442" s="19"/>
      <c r="C442" s="19"/>
      <c r="D442" s="19"/>
      <c r="E442" s="19"/>
      <c r="F442" s="18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23"/>
      <c r="R442" s="19"/>
    </row>
    <row r="443" spans="1:18" x14ac:dyDescent="0.2">
      <c r="A443" s="19"/>
      <c r="B443" s="19"/>
      <c r="C443" s="19"/>
      <c r="D443" s="19"/>
      <c r="E443" s="19"/>
      <c r="F443" s="18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23"/>
      <c r="R443" s="19"/>
    </row>
    <row r="444" spans="1:18" x14ac:dyDescent="0.2">
      <c r="A444" s="19"/>
      <c r="B444" s="19"/>
      <c r="C444" s="19"/>
      <c r="D444" s="19"/>
      <c r="E444" s="19"/>
      <c r="F444" s="18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23"/>
      <c r="R444" s="19"/>
    </row>
    <row r="445" spans="1:18" x14ac:dyDescent="0.2">
      <c r="A445" s="19"/>
      <c r="B445" s="19"/>
      <c r="C445" s="19"/>
      <c r="D445" s="19"/>
      <c r="E445" s="19"/>
      <c r="F445" s="18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23"/>
      <c r="R445" s="19"/>
    </row>
    <row r="446" spans="1:18" x14ac:dyDescent="0.2">
      <c r="A446" s="19"/>
      <c r="B446" s="19"/>
      <c r="C446" s="19"/>
      <c r="D446" s="19"/>
      <c r="E446" s="19"/>
      <c r="F446" s="18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23"/>
      <c r="R446" s="19"/>
    </row>
    <row r="447" spans="1:18" x14ac:dyDescent="0.2">
      <c r="A447" s="19"/>
      <c r="B447" s="19"/>
      <c r="C447" s="19"/>
      <c r="D447" s="19"/>
      <c r="E447" s="19"/>
      <c r="F447" s="18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23"/>
      <c r="R447" s="19"/>
    </row>
    <row r="448" spans="1:18" x14ac:dyDescent="0.2">
      <c r="A448" s="19"/>
      <c r="B448" s="19"/>
      <c r="C448" s="19"/>
      <c r="D448" s="19"/>
      <c r="E448" s="19"/>
      <c r="F448" s="18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23"/>
      <c r="R448" s="19"/>
    </row>
    <row r="449" spans="1:18" x14ac:dyDescent="0.2">
      <c r="A449" s="19"/>
      <c r="B449" s="19"/>
      <c r="C449" s="19"/>
      <c r="D449" s="19"/>
      <c r="E449" s="19"/>
      <c r="F449" s="18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23"/>
      <c r="R449" s="19"/>
    </row>
    <row r="450" spans="1:18" x14ac:dyDescent="0.2">
      <c r="A450" s="19"/>
      <c r="B450" s="19"/>
      <c r="C450" s="19"/>
      <c r="D450" s="19"/>
      <c r="E450" s="19"/>
      <c r="F450" s="18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23"/>
      <c r="R450" s="19"/>
    </row>
    <row r="451" spans="1:18" x14ac:dyDescent="0.2">
      <c r="A451" s="19"/>
      <c r="B451" s="19"/>
      <c r="C451" s="19"/>
      <c r="D451" s="19"/>
      <c r="E451" s="19"/>
      <c r="F451" s="18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23"/>
      <c r="R451" s="19"/>
    </row>
    <row r="452" spans="1:18" x14ac:dyDescent="0.2">
      <c r="A452" s="19"/>
      <c r="B452" s="19"/>
      <c r="C452" s="19"/>
      <c r="D452" s="19"/>
      <c r="E452" s="19"/>
      <c r="F452" s="18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23"/>
      <c r="R452" s="19"/>
    </row>
    <row r="453" spans="1:18" x14ac:dyDescent="0.2">
      <c r="A453" s="19"/>
      <c r="B453" s="19"/>
      <c r="C453" s="19"/>
      <c r="D453" s="19"/>
      <c r="E453" s="19"/>
      <c r="F453" s="18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23"/>
      <c r="R453" s="19"/>
    </row>
    <row r="454" spans="1:18" x14ac:dyDescent="0.2">
      <c r="A454" s="19"/>
      <c r="B454" s="19"/>
      <c r="C454" s="19"/>
      <c r="D454" s="19"/>
      <c r="E454" s="19"/>
      <c r="F454" s="18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23"/>
      <c r="R454" s="19"/>
    </row>
    <row r="455" spans="1:18" x14ac:dyDescent="0.2">
      <c r="A455" s="19"/>
      <c r="B455" s="19"/>
      <c r="C455" s="19"/>
      <c r="D455" s="19"/>
      <c r="E455" s="19"/>
      <c r="F455" s="18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23"/>
      <c r="R455" s="19"/>
    </row>
    <row r="456" spans="1:18" x14ac:dyDescent="0.2">
      <c r="A456" s="19"/>
      <c r="B456" s="19"/>
      <c r="C456" s="19"/>
      <c r="D456" s="19"/>
      <c r="E456" s="19"/>
      <c r="F456" s="18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23"/>
      <c r="R456" s="19"/>
    </row>
    <row r="457" spans="1:18" x14ac:dyDescent="0.2">
      <c r="A457" s="19"/>
      <c r="B457" s="19"/>
      <c r="C457" s="19"/>
      <c r="D457" s="19"/>
      <c r="E457" s="19"/>
      <c r="F457" s="18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23"/>
      <c r="R457" s="19"/>
    </row>
    <row r="458" spans="1:18" x14ac:dyDescent="0.2">
      <c r="A458" s="19"/>
      <c r="B458" s="19"/>
      <c r="C458" s="19"/>
      <c r="D458" s="19"/>
      <c r="E458" s="19"/>
      <c r="F458" s="18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23"/>
      <c r="R458" s="19"/>
    </row>
    <row r="459" spans="1:18" x14ac:dyDescent="0.2">
      <c r="A459" s="19"/>
      <c r="B459" s="19"/>
      <c r="C459" s="19"/>
      <c r="D459" s="19"/>
      <c r="E459" s="19"/>
      <c r="F459" s="18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23"/>
      <c r="R459" s="19"/>
    </row>
    <row r="460" spans="1:18" x14ac:dyDescent="0.2">
      <c r="A460" s="19"/>
      <c r="B460" s="19"/>
      <c r="C460" s="19"/>
      <c r="D460" s="19"/>
      <c r="E460" s="19"/>
      <c r="F460" s="18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23"/>
      <c r="R460" s="19"/>
    </row>
    <row r="461" spans="1:18" x14ac:dyDescent="0.2">
      <c r="A461" s="19"/>
      <c r="B461" s="19"/>
      <c r="C461" s="19"/>
      <c r="D461" s="19"/>
      <c r="E461" s="19"/>
      <c r="F461" s="18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23"/>
      <c r="R461" s="19"/>
    </row>
    <row r="462" spans="1:18" x14ac:dyDescent="0.2">
      <c r="A462" s="19"/>
      <c r="B462" s="19"/>
      <c r="C462" s="19"/>
      <c r="D462" s="19"/>
      <c r="E462" s="19"/>
      <c r="F462" s="18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23"/>
      <c r="R462" s="19"/>
    </row>
    <row r="463" spans="1:18" x14ac:dyDescent="0.2">
      <c r="A463" s="19"/>
      <c r="B463" s="19"/>
      <c r="C463" s="19"/>
      <c r="D463" s="19"/>
      <c r="E463" s="19"/>
      <c r="F463" s="18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23"/>
      <c r="R463" s="19"/>
    </row>
    <row r="464" spans="1:18" x14ac:dyDescent="0.2">
      <c r="A464" s="19"/>
      <c r="B464" s="19"/>
      <c r="C464" s="19"/>
      <c r="D464" s="19"/>
      <c r="E464" s="19"/>
      <c r="F464" s="18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23"/>
      <c r="R464" s="19"/>
    </row>
    <row r="465" spans="1:18" x14ac:dyDescent="0.2">
      <c r="A465" s="19"/>
      <c r="B465" s="19"/>
      <c r="C465" s="19"/>
      <c r="D465" s="19"/>
      <c r="E465" s="19"/>
      <c r="F465" s="18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23"/>
      <c r="R465" s="19"/>
    </row>
    <row r="466" spans="1:18" x14ac:dyDescent="0.2">
      <c r="A466" s="19"/>
      <c r="B466" s="19"/>
      <c r="C466" s="19"/>
      <c r="D466" s="19"/>
      <c r="E466" s="19"/>
      <c r="F466" s="18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23"/>
      <c r="R466" s="19"/>
    </row>
    <row r="467" spans="1:18" x14ac:dyDescent="0.2">
      <c r="A467" s="19"/>
      <c r="B467" s="19"/>
      <c r="C467" s="19"/>
      <c r="D467" s="19"/>
      <c r="E467" s="19"/>
      <c r="F467" s="18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23"/>
      <c r="R467" s="19"/>
    </row>
    <row r="468" spans="1:18" x14ac:dyDescent="0.2">
      <c r="A468" s="19"/>
      <c r="B468" s="19"/>
      <c r="C468" s="19"/>
      <c r="D468" s="19"/>
      <c r="E468" s="19"/>
      <c r="F468" s="18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23"/>
      <c r="R468" s="19"/>
    </row>
    <row r="469" spans="1:18" x14ac:dyDescent="0.2">
      <c r="A469" s="19"/>
      <c r="B469" s="19"/>
      <c r="C469" s="19"/>
      <c r="D469" s="19"/>
      <c r="E469" s="19"/>
      <c r="F469" s="18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23"/>
      <c r="R469" s="19"/>
    </row>
    <row r="470" spans="1:18" x14ac:dyDescent="0.2">
      <c r="A470" s="19"/>
      <c r="B470" s="19"/>
      <c r="C470" s="19"/>
      <c r="D470" s="19"/>
      <c r="E470" s="19"/>
      <c r="F470" s="18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23"/>
      <c r="R470" s="19"/>
    </row>
    <row r="471" spans="1:18" x14ac:dyDescent="0.2">
      <c r="A471" s="19"/>
      <c r="B471" s="19"/>
      <c r="C471" s="19"/>
      <c r="D471" s="19"/>
      <c r="E471" s="19"/>
      <c r="F471" s="18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23"/>
      <c r="R471" s="19"/>
    </row>
  </sheetData>
  <autoFilter ref="A1:P287" xr:uid="{00000000-0009-0000-0000-000000000000}"/>
  <hyperlinks>
    <hyperlink ref="H2" r:id="rId1" xr:uid="{3C72F1E8-59EF-A145-8B18-7B6AE0C8C153}"/>
    <hyperlink ref="H284" r:id="rId2" xr:uid="{F7AA8CCB-94A1-3E4C-B98F-A1954994BFFD}"/>
  </hyperlinks>
  <printOptions horizontalCentered="1"/>
  <pageMargins left="0.23622047244094491" right="0.23622047244094491" top="0.74803149606299213" bottom="0.74803149606299213" header="0.31496062992125984" footer="0.31496062992125984"/>
  <pageSetup scale="36" fitToHeight="9" orientation="landscape" r:id="rId3"/>
  <headerFooter>
    <oddHeader>&amp;C&amp;F</oddHeader>
    <oddFooter>&amp;L&amp;A&amp;R&amp;P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7E7B-CF21-7744-80BC-3EE5B4E48594}">
  <dimension ref="A1:I77"/>
  <sheetViews>
    <sheetView topLeftCell="A33" workbookViewId="0">
      <selection activeCell="D18" sqref="D18"/>
    </sheetView>
  </sheetViews>
  <sheetFormatPr baseColWidth="10" defaultColWidth="56" defaultRowHeight="15" x14ac:dyDescent="0.2"/>
  <cols>
    <col min="1" max="1" width="16.5" bestFit="1" customWidth="1"/>
    <col min="2" max="2" width="47.6640625" bestFit="1" customWidth="1"/>
    <col min="3" max="3" width="23.6640625" bestFit="1" customWidth="1"/>
    <col min="4" max="4" width="12.6640625" bestFit="1" customWidth="1"/>
    <col min="5" max="5" width="37.83203125" bestFit="1" customWidth="1"/>
    <col min="6" max="6" width="13" bestFit="1" customWidth="1"/>
    <col min="7" max="7" width="15.1640625" bestFit="1" customWidth="1"/>
    <col min="8" max="8" width="15.33203125" bestFit="1" customWidth="1"/>
    <col min="9" max="9" width="12.33203125" bestFit="1" customWidth="1"/>
  </cols>
  <sheetData>
    <row r="1" spans="1:9" ht="16" thickBot="1" x14ac:dyDescent="0.25">
      <c r="A1" s="25" t="s">
        <v>1161</v>
      </c>
      <c r="B1" s="25" t="s">
        <v>1162</v>
      </c>
      <c r="C1" s="25" t="s">
        <v>3</v>
      </c>
      <c r="D1" s="25" t="s">
        <v>6</v>
      </c>
      <c r="E1" s="25" t="s">
        <v>7</v>
      </c>
      <c r="F1" s="25" t="s">
        <v>1163</v>
      </c>
      <c r="G1" s="25" t="s">
        <v>14</v>
      </c>
      <c r="H1" s="26" t="s">
        <v>15</v>
      </c>
      <c r="I1" s="27" t="s">
        <v>1164</v>
      </c>
    </row>
    <row r="2" spans="1:9" ht="16" thickBot="1" x14ac:dyDescent="0.25">
      <c r="A2" s="28">
        <v>738</v>
      </c>
      <c r="B2" s="29" t="s">
        <v>1165</v>
      </c>
      <c r="C2" s="28" t="s">
        <v>18</v>
      </c>
      <c r="D2" s="28">
        <v>9999470480</v>
      </c>
      <c r="E2" s="28" t="s">
        <v>20</v>
      </c>
      <c r="F2" s="28">
        <v>1</v>
      </c>
      <c r="G2" s="28">
        <v>3</v>
      </c>
      <c r="H2" s="28">
        <v>1</v>
      </c>
      <c r="I2" s="30">
        <v>39288</v>
      </c>
    </row>
    <row r="3" spans="1:9" ht="16" thickBot="1" x14ac:dyDescent="0.25">
      <c r="A3" s="31">
        <v>738</v>
      </c>
      <c r="B3" s="32" t="s">
        <v>1166</v>
      </c>
      <c r="C3" s="31" t="s">
        <v>41</v>
      </c>
      <c r="D3" s="31">
        <v>9991336764</v>
      </c>
      <c r="E3" s="31" t="s">
        <v>44</v>
      </c>
      <c r="F3" s="31">
        <v>30</v>
      </c>
      <c r="G3" s="31">
        <v>3</v>
      </c>
      <c r="H3" s="31">
        <v>2</v>
      </c>
      <c r="I3" s="30">
        <v>44470</v>
      </c>
    </row>
    <row r="4" spans="1:9" ht="16" thickBot="1" x14ac:dyDescent="0.25">
      <c r="A4" s="31">
        <v>738</v>
      </c>
      <c r="B4" s="32" t="s">
        <v>1167</v>
      </c>
      <c r="C4" s="31" t="s">
        <v>67</v>
      </c>
      <c r="D4" s="31">
        <v>9992442613</v>
      </c>
      <c r="E4" s="31" t="s">
        <v>69</v>
      </c>
      <c r="F4" s="31">
        <v>31</v>
      </c>
      <c r="G4" s="31">
        <v>4</v>
      </c>
      <c r="H4" s="31">
        <v>4</v>
      </c>
      <c r="I4" s="30">
        <v>39822</v>
      </c>
    </row>
    <row r="5" spans="1:9" ht="16" thickBot="1" x14ac:dyDescent="0.25">
      <c r="A5" s="31">
        <v>738</v>
      </c>
      <c r="B5" s="32" t="s">
        <v>1168</v>
      </c>
      <c r="C5" s="31" t="s">
        <v>101</v>
      </c>
      <c r="D5" s="31">
        <v>9999238686</v>
      </c>
      <c r="E5" s="31" t="s">
        <v>104</v>
      </c>
      <c r="F5" s="31">
        <v>46</v>
      </c>
      <c r="G5" s="31">
        <v>0</v>
      </c>
      <c r="H5" s="31">
        <v>10</v>
      </c>
      <c r="I5" s="30">
        <v>44379</v>
      </c>
    </row>
    <row r="6" spans="1:9" ht="16" thickBot="1" x14ac:dyDescent="0.25">
      <c r="A6" s="31">
        <v>738</v>
      </c>
      <c r="B6" s="32" t="s">
        <v>1169</v>
      </c>
      <c r="C6" s="31" t="s">
        <v>150</v>
      </c>
      <c r="D6" s="31">
        <v>9992771732</v>
      </c>
      <c r="E6" s="31" t="s">
        <v>152</v>
      </c>
      <c r="F6" s="31">
        <v>51</v>
      </c>
      <c r="G6" s="31">
        <v>0</v>
      </c>
      <c r="H6" s="31">
        <v>5</v>
      </c>
      <c r="I6" s="30">
        <v>40065</v>
      </c>
    </row>
    <row r="7" spans="1:9" ht="16" thickBot="1" x14ac:dyDescent="0.25">
      <c r="A7" s="31">
        <v>738</v>
      </c>
      <c r="B7" s="32" t="s">
        <v>1170</v>
      </c>
      <c r="C7" s="31" t="s">
        <v>172</v>
      </c>
      <c r="D7" s="31">
        <v>9999810995</v>
      </c>
      <c r="E7" s="31" t="s">
        <v>174</v>
      </c>
      <c r="F7" s="31">
        <v>53</v>
      </c>
      <c r="G7" s="31">
        <v>0</v>
      </c>
      <c r="H7" s="31">
        <v>7</v>
      </c>
      <c r="I7" s="30">
        <v>40148</v>
      </c>
    </row>
    <row r="8" spans="1:9" ht="16" thickBot="1" x14ac:dyDescent="0.25">
      <c r="A8" s="31">
        <v>738</v>
      </c>
      <c r="B8" s="32" t="s">
        <v>1171</v>
      </c>
      <c r="C8" s="31" t="s">
        <v>201</v>
      </c>
      <c r="D8" s="31">
        <v>9381200721</v>
      </c>
      <c r="E8" s="31" t="s">
        <v>203</v>
      </c>
      <c r="F8" s="31">
        <v>70</v>
      </c>
      <c r="G8" s="31">
        <v>5</v>
      </c>
      <c r="H8" s="31">
        <v>5</v>
      </c>
      <c r="I8" s="30">
        <v>40452</v>
      </c>
    </row>
    <row r="9" spans="1:9" ht="16" thickBot="1" x14ac:dyDescent="0.25">
      <c r="A9" s="31">
        <v>738</v>
      </c>
      <c r="B9" s="32" t="s">
        <v>1172</v>
      </c>
      <c r="C9" s="31" t="s">
        <v>242</v>
      </c>
      <c r="D9" s="31">
        <v>9999258499</v>
      </c>
      <c r="E9" s="31" t="s">
        <v>244</v>
      </c>
      <c r="F9" s="31">
        <v>74</v>
      </c>
      <c r="G9" s="31">
        <v>0</v>
      </c>
      <c r="H9" s="31">
        <v>4</v>
      </c>
      <c r="I9" s="30">
        <v>40631</v>
      </c>
    </row>
    <row r="10" spans="1:9" ht="16" thickBot="1" x14ac:dyDescent="0.25">
      <c r="A10" s="31">
        <v>738</v>
      </c>
      <c r="B10" s="32" t="s">
        <v>1173</v>
      </c>
      <c r="C10" s="31" t="s">
        <v>261</v>
      </c>
      <c r="D10" s="31">
        <v>9999005153</v>
      </c>
      <c r="E10" s="31" t="s">
        <v>264</v>
      </c>
      <c r="F10" s="31">
        <v>87</v>
      </c>
      <c r="G10" s="31">
        <v>1</v>
      </c>
      <c r="H10" s="31">
        <v>5</v>
      </c>
      <c r="I10" s="30">
        <v>44456</v>
      </c>
    </row>
    <row r="11" spans="1:9" ht="16" thickBot="1" x14ac:dyDescent="0.25">
      <c r="A11" s="31">
        <v>738</v>
      </c>
      <c r="B11" s="32" t="s">
        <v>1174</v>
      </c>
      <c r="C11" s="31" t="s">
        <v>286</v>
      </c>
      <c r="D11" s="31">
        <v>5554388308</v>
      </c>
      <c r="E11" s="31" t="s">
        <v>288</v>
      </c>
      <c r="F11" s="31">
        <v>88</v>
      </c>
      <c r="G11" s="31">
        <v>5</v>
      </c>
      <c r="H11" s="31">
        <v>3</v>
      </c>
      <c r="I11" s="30">
        <v>40749</v>
      </c>
    </row>
    <row r="12" spans="1:9" ht="16" thickBot="1" x14ac:dyDescent="0.25">
      <c r="A12" s="31">
        <v>738</v>
      </c>
      <c r="B12" s="32" t="s">
        <v>1175</v>
      </c>
      <c r="C12" s="31" t="s">
        <v>317</v>
      </c>
      <c r="D12" s="31">
        <v>5554536965</v>
      </c>
      <c r="E12" s="31" t="s">
        <v>320</v>
      </c>
      <c r="F12" s="31">
        <v>97</v>
      </c>
      <c r="G12" s="31">
        <v>1</v>
      </c>
      <c r="H12" s="31">
        <v>7</v>
      </c>
      <c r="I12" s="30">
        <v>44453</v>
      </c>
    </row>
    <row r="13" spans="1:9" ht="16" thickBot="1" x14ac:dyDescent="0.25">
      <c r="A13" s="31">
        <v>738</v>
      </c>
      <c r="B13" s="32" t="s">
        <v>1176</v>
      </c>
      <c r="C13" s="31" t="s">
        <v>351</v>
      </c>
      <c r="D13" s="31">
        <v>9997720959</v>
      </c>
      <c r="E13" s="31" t="s">
        <v>353</v>
      </c>
      <c r="F13" s="31">
        <v>99</v>
      </c>
      <c r="G13" s="31">
        <v>2</v>
      </c>
      <c r="H13" s="31">
        <v>2</v>
      </c>
      <c r="I13" s="30">
        <v>44453</v>
      </c>
    </row>
    <row r="14" spans="1:9" ht="16" thickBot="1" x14ac:dyDescent="0.25">
      <c r="A14" s="31">
        <v>738</v>
      </c>
      <c r="B14" s="32" t="s">
        <v>1177</v>
      </c>
      <c r="C14" s="31" t="s">
        <v>367</v>
      </c>
      <c r="D14" s="31">
        <v>9999600269</v>
      </c>
      <c r="E14" s="31" t="s">
        <v>370</v>
      </c>
      <c r="F14" s="31">
        <v>102</v>
      </c>
      <c r="G14" s="31">
        <v>1</v>
      </c>
      <c r="H14" s="31">
        <v>2</v>
      </c>
      <c r="I14" s="30">
        <v>41079</v>
      </c>
    </row>
    <row r="15" spans="1:9" ht="16" thickBot="1" x14ac:dyDescent="0.25">
      <c r="A15" s="31">
        <v>738</v>
      </c>
      <c r="B15" s="32" t="s">
        <v>1178</v>
      </c>
      <c r="C15" s="31" t="s">
        <v>379</v>
      </c>
      <c r="D15" s="31">
        <v>9993349575</v>
      </c>
      <c r="E15" s="31" t="s">
        <v>381</v>
      </c>
      <c r="F15" s="31">
        <v>103</v>
      </c>
      <c r="G15" s="31">
        <v>0</v>
      </c>
      <c r="H15" s="31">
        <v>5</v>
      </c>
      <c r="I15" s="30">
        <v>41106</v>
      </c>
    </row>
    <row r="16" spans="1:9" ht="16" thickBot="1" x14ac:dyDescent="0.25">
      <c r="A16" s="31">
        <v>738</v>
      </c>
      <c r="B16" s="32" t="s">
        <v>1179</v>
      </c>
      <c r="C16" s="31" t="s">
        <v>400</v>
      </c>
      <c r="D16" s="31">
        <v>9991637860</v>
      </c>
      <c r="E16" s="31" t="s">
        <v>402</v>
      </c>
      <c r="F16" s="31">
        <v>107</v>
      </c>
      <c r="G16" s="31">
        <v>3</v>
      </c>
      <c r="H16" s="31">
        <v>1</v>
      </c>
      <c r="I16" s="30">
        <v>41132</v>
      </c>
    </row>
    <row r="17" spans="1:9" ht="16" thickBot="1" x14ac:dyDescent="0.25">
      <c r="A17" s="31">
        <v>738</v>
      </c>
      <c r="B17" s="32" t="s">
        <v>1180</v>
      </c>
      <c r="C17" s="31" t="s">
        <v>414</v>
      </c>
      <c r="D17" s="31">
        <v>9999431556</v>
      </c>
      <c r="E17" s="31" t="s">
        <v>416</v>
      </c>
      <c r="F17" s="31">
        <v>113</v>
      </c>
      <c r="G17" s="31">
        <v>0</v>
      </c>
      <c r="H17" s="31">
        <v>10</v>
      </c>
      <c r="I17" s="30">
        <v>41178</v>
      </c>
    </row>
    <row r="18" spans="1:9" ht="16" thickBot="1" x14ac:dyDescent="0.25">
      <c r="A18" s="31">
        <v>738</v>
      </c>
      <c r="B18" s="32" t="s">
        <v>1181</v>
      </c>
      <c r="C18" s="31" t="s">
        <v>451</v>
      </c>
      <c r="D18" s="31">
        <v>9999473478</v>
      </c>
      <c r="E18" s="31" t="s">
        <v>454</v>
      </c>
      <c r="F18" s="31">
        <v>115</v>
      </c>
      <c r="G18" s="31">
        <v>0</v>
      </c>
      <c r="H18" s="31">
        <v>2</v>
      </c>
      <c r="I18" s="30">
        <v>41213</v>
      </c>
    </row>
    <row r="19" spans="1:9" ht="16" thickBot="1" x14ac:dyDescent="0.25">
      <c r="A19" s="31">
        <v>738</v>
      </c>
      <c r="B19" s="32" t="s">
        <v>1182</v>
      </c>
      <c r="C19" s="31" t="s">
        <v>460</v>
      </c>
      <c r="D19" s="31">
        <v>9961006288</v>
      </c>
      <c r="E19" s="31" t="s">
        <v>462</v>
      </c>
      <c r="F19" s="31">
        <v>123</v>
      </c>
      <c r="G19" s="31">
        <v>0</v>
      </c>
      <c r="H19" s="31">
        <v>4</v>
      </c>
      <c r="I19" s="30">
        <v>41459</v>
      </c>
    </row>
    <row r="20" spans="1:9" ht="16" thickBot="1" x14ac:dyDescent="0.25">
      <c r="A20" s="31">
        <v>738</v>
      </c>
      <c r="B20" s="32" t="s">
        <v>1183</v>
      </c>
      <c r="C20" s="31" t="s">
        <v>476</v>
      </c>
      <c r="D20" s="31">
        <v>9818296516</v>
      </c>
      <c r="E20" s="31" t="s">
        <v>478</v>
      </c>
      <c r="F20" s="31">
        <v>137</v>
      </c>
      <c r="G20" s="31">
        <v>0</v>
      </c>
      <c r="H20" s="31">
        <v>6</v>
      </c>
      <c r="I20" s="30">
        <v>41874</v>
      </c>
    </row>
    <row r="21" spans="1:9" ht="16" thickBot="1" x14ac:dyDescent="0.25">
      <c r="A21" s="31">
        <v>738</v>
      </c>
      <c r="B21" s="32" t="s">
        <v>1184</v>
      </c>
      <c r="C21" s="31" t="s">
        <v>496</v>
      </c>
      <c r="D21" s="31">
        <v>9999001272</v>
      </c>
      <c r="E21" s="31" t="s">
        <v>498</v>
      </c>
      <c r="F21" s="31">
        <v>142</v>
      </c>
      <c r="G21" s="31">
        <v>0</v>
      </c>
      <c r="H21" s="31">
        <v>5</v>
      </c>
      <c r="I21" s="30">
        <v>42087</v>
      </c>
    </row>
    <row r="22" spans="1:9" ht="16" thickBot="1" x14ac:dyDescent="0.25">
      <c r="A22" s="31">
        <v>738</v>
      </c>
      <c r="B22" s="32" t="s">
        <v>1185</v>
      </c>
      <c r="C22" s="31" t="s">
        <v>516</v>
      </c>
      <c r="D22" s="31">
        <v>9992005550</v>
      </c>
      <c r="E22" s="31" t="s">
        <v>518</v>
      </c>
      <c r="F22" s="31">
        <v>144</v>
      </c>
      <c r="G22" s="31">
        <v>2</v>
      </c>
      <c r="H22" s="31">
        <v>4</v>
      </c>
      <c r="I22" s="30">
        <v>42280</v>
      </c>
    </row>
    <row r="23" spans="1:9" ht="16" thickBot="1" x14ac:dyDescent="0.25">
      <c r="A23" s="31">
        <v>738</v>
      </c>
      <c r="B23" s="32" t="s">
        <v>1186</v>
      </c>
      <c r="C23" s="31" t="s">
        <v>536</v>
      </c>
      <c r="D23" s="31">
        <v>9999490494</v>
      </c>
      <c r="E23" s="31" t="s">
        <v>538</v>
      </c>
      <c r="F23" s="31">
        <v>147</v>
      </c>
      <c r="G23" s="31">
        <v>2</v>
      </c>
      <c r="H23" s="31">
        <v>4</v>
      </c>
      <c r="I23" s="30">
        <v>42348</v>
      </c>
    </row>
    <row r="24" spans="1:9" ht="16" thickBot="1" x14ac:dyDescent="0.25">
      <c r="A24" s="31">
        <v>738</v>
      </c>
      <c r="B24" s="32" t="s">
        <v>1187</v>
      </c>
      <c r="C24" s="31" t="s">
        <v>554</v>
      </c>
      <c r="D24" s="31">
        <v>9992429052</v>
      </c>
      <c r="E24" s="31" t="s">
        <v>556</v>
      </c>
      <c r="F24" s="31">
        <v>148</v>
      </c>
      <c r="G24" s="31">
        <v>2</v>
      </c>
      <c r="H24" s="31">
        <v>7</v>
      </c>
      <c r="I24" s="30">
        <v>42440</v>
      </c>
    </row>
    <row r="25" spans="1:9" ht="16" thickBot="1" x14ac:dyDescent="0.25">
      <c r="A25" s="31">
        <v>738</v>
      </c>
      <c r="B25" s="32" t="s">
        <v>1188</v>
      </c>
      <c r="C25" s="31" t="s">
        <v>582</v>
      </c>
      <c r="D25" s="31">
        <v>9999415052</v>
      </c>
      <c r="E25" s="31" t="s">
        <v>584</v>
      </c>
      <c r="F25" s="31">
        <v>149</v>
      </c>
      <c r="G25" s="31">
        <v>1</v>
      </c>
      <c r="H25" s="31">
        <v>5</v>
      </c>
      <c r="I25" s="30">
        <v>42439</v>
      </c>
    </row>
    <row r="26" spans="1:9" ht="16" thickBot="1" x14ac:dyDescent="0.25">
      <c r="A26" s="31">
        <v>738</v>
      </c>
      <c r="B26" s="32" t="s">
        <v>1189</v>
      </c>
      <c r="C26" s="31" t="s">
        <v>601</v>
      </c>
      <c r="D26" s="31">
        <v>9999494819</v>
      </c>
      <c r="E26" s="31" t="s">
        <v>603</v>
      </c>
      <c r="F26" s="31">
        <v>151</v>
      </c>
      <c r="G26" s="31">
        <v>0</v>
      </c>
      <c r="H26" s="31">
        <v>1</v>
      </c>
      <c r="I26" s="30">
        <v>42468</v>
      </c>
    </row>
    <row r="27" spans="1:9" ht="16" thickBot="1" x14ac:dyDescent="0.25">
      <c r="A27" s="31">
        <v>738</v>
      </c>
      <c r="B27" s="32" t="s">
        <v>1190</v>
      </c>
      <c r="C27" s="31" t="s">
        <v>607</v>
      </c>
      <c r="D27" s="31">
        <v>9992389961</v>
      </c>
      <c r="E27" s="31" t="s">
        <v>609</v>
      </c>
      <c r="F27" s="31">
        <v>153</v>
      </c>
      <c r="G27" s="31">
        <v>1</v>
      </c>
      <c r="H27" s="31">
        <v>0</v>
      </c>
      <c r="I27" s="30">
        <v>42500</v>
      </c>
    </row>
    <row r="28" spans="1:9" ht="16" thickBot="1" x14ac:dyDescent="0.25">
      <c r="A28" s="31">
        <v>738</v>
      </c>
      <c r="B28" s="32" t="s">
        <v>1191</v>
      </c>
      <c r="C28" s="31" t="s">
        <v>614</v>
      </c>
      <c r="D28" s="31">
        <v>9991335899</v>
      </c>
      <c r="E28" s="31" t="s">
        <v>616</v>
      </c>
      <c r="F28" s="31">
        <v>157</v>
      </c>
      <c r="G28" s="31">
        <v>1</v>
      </c>
      <c r="H28" s="31">
        <v>0</v>
      </c>
      <c r="I28" s="30">
        <v>42774</v>
      </c>
    </row>
    <row r="29" spans="1:9" ht="16" thickBot="1" x14ac:dyDescent="0.25">
      <c r="A29" s="31">
        <v>738</v>
      </c>
      <c r="B29" s="32" t="s">
        <v>1192</v>
      </c>
      <c r="C29" s="31" t="s">
        <v>622</v>
      </c>
      <c r="D29" s="31">
        <v>9991335899</v>
      </c>
      <c r="E29" s="31" t="s">
        <v>616</v>
      </c>
      <c r="F29" s="31">
        <v>161</v>
      </c>
      <c r="G29" s="31">
        <v>1</v>
      </c>
      <c r="H29" s="31">
        <v>3</v>
      </c>
      <c r="I29" s="30">
        <v>42870</v>
      </c>
    </row>
    <row r="30" spans="1:9" ht="16" thickBot="1" x14ac:dyDescent="0.25">
      <c r="A30" s="31">
        <v>738</v>
      </c>
      <c r="B30" s="32" t="s">
        <v>1193</v>
      </c>
      <c r="C30" s="31" t="s">
        <v>636</v>
      </c>
      <c r="D30" s="31">
        <v>9999477501</v>
      </c>
      <c r="E30" s="31" t="s">
        <v>638</v>
      </c>
      <c r="F30" s="31">
        <v>166</v>
      </c>
      <c r="G30" s="31">
        <v>2</v>
      </c>
      <c r="H30" s="31">
        <v>2</v>
      </c>
      <c r="I30" s="30">
        <v>43123</v>
      </c>
    </row>
    <row r="31" spans="1:9" ht="16" thickBot="1" x14ac:dyDescent="0.25">
      <c r="A31" s="31">
        <v>738</v>
      </c>
      <c r="B31" s="32" t="s">
        <v>1194</v>
      </c>
      <c r="C31" s="31" t="s">
        <v>651</v>
      </c>
      <c r="D31" s="31">
        <v>9999479199</v>
      </c>
      <c r="E31" s="31" t="s">
        <v>652</v>
      </c>
      <c r="F31" s="31">
        <v>167</v>
      </c>
      <c r="G31" s="31">
        <v>1</v>
      </c>
      <c r="H31" s="31">
        <v>0</v>
      </c>
      <c r="I31" s="30">
        <v>43123</v>
      </c>
    </row>
    <row r="32" spans="1:9" ht="16" thickBot="1" x14ac:dyDescent="0.25">
      <c r="A32" s="31">
        <v>738</v>
      </c>
      <c r="B32" s="32" t="s">
        <v>1195</v>
      </c>
      <c r="C32" s="31" t="s">
        <v>656</v>
      </c>
      <c r="D32" s="31">
        <v>9992243874</v>
      </c>
      <c r="E32" s="31" t="s">
        <v>658</v>
      </c>
      <c r="F32" s="31">
        <v>178</v>
      </c>
      <c r="G32" s="31">
        <v>0</v>
      </c>
      <c r="H32" s="31">
        <v>1</v>
      </c>
      <c r="I32" s="30">
        <v>43859</v>
      </c>
    </row>
    <row r="33" spans="1:9" ht="16" thickBot="1" x14ac:dyDescent="0.25">
      <c r="A33" s="31">
        <v>738</v>
      </c>
      <c r="B33" s="32" t="s">
        <v>1196</v>
      </c>
      <c r="C33" s="31" t="s">
        <v>662</v>
      </c>
      <c r="D33" s="31">
        <v>9992978103</v>
      </c>
      <c r="E33" s="31" t="s">
        <v>663</v>
      </c>
      <c r="F33" s="31">
        <v>179</v>
      </c>
      <c r="G33" s="31">
        <v>1</v>
      </c>
      <c r="H33" s="31">
        <v>0</v>
      </c>
      <c r="I33" s="30">
        <v>43860</v>
      </c>
    </row>
    <row r="34" spans="1:9" ht="16" thickBot="1" x14ac:dyDescent="0.25">
      <c r="A34" s="31">
        <v>738</v>
      </c>
      <c r="B34" s="32" t="s">
        <v>1197</v>
      </c>
      <c r="C34" s="31" t="s">
        <v>667</v>
      </c>
      <c r="D34" s="31">
        <v>9999477957</v>
      </c>
      <c r="E34" s="31" t="s">
        <v>669</v>
      </c>
      <c r="F34" s="31">
        <v>181</v>
      </c>
      <c r="G34" s="31">
        <v>1</v>
      </c>
      <c r="H34" s="31">
        <v>0</v>
      </c>
      <c r="I34" s="30">
        <v>43875</v>
      </c>
    </row>
    <row r="35" spans="1:9" ht="16" thickBot="1" x14ac:dyDescent="0.25">
      <c r="A35" s="31">
        <v>738</v>
      </c>
      <c r="B35" s="32" t="s">
        <v>1198</v>
      </c>
      <c r="C35" s="31" t="s">
        <v>673</v>
      </c>
      <c r="D35" s="31">
        <v>9991229424</v>
      </c>
      <c r="E35" s="31" t="s">
        <v>675</v>
      </c>
      <c r="F35" s="31">
        <v>182</v>
      </c>
      <c r="G35" s="31">
        <v>6</v>
      </c>
      <c r="H35" s="31">
        <v>1</v>
      </c>
      <c r="I35" s="30">
        <v>43875</v>
      </c>
    </row>
    <row r="36" spans="1:9" ht="16" thickBot="1" x14ac:dyDescent="0.25">
      <c r="A36" s="31">
        <v>738</v>
      </c>
      <c r="B36" s="32" t="s">
        <v>1199</v>
      </c>
      <c r="C36" s="31" t="s">
        <v>695</v>
      </c>
      <c r="D36" s="31">
        <v>9992403110</v>
      </c>
      <c r="E36" s="31" t="s">
        <v>697</v>
      </c>
      <c r="F36" s="31">
        <v>183</v>
      </c>
      <c r="G36" s="31">
        <v>0</v>
      </c>
      <c r="H36" s="31">
        <v>1</v>
      </c>
      <c r="I36" s="30">
        <v>43885</v>
      </c>
    </row>
    <row r="37" spans="1:9" ht="16" thickBot="1" x14ac:dyDescent="0.25">
      <c r="A37" s="31">
        <v>738</v>
      </c>
      <c r="B37" s="32" t="s">
        <v>1200</v>
      </c>
      <c r="C37" s="31" t="s">
        <v>702</v>
      </c>
      <c r="D37" s="31">
        <v>5520869685</v>
      </c>
      <c r="E37" s="31" t="s">
        <v>704</v>
      </c>
      <c r="F37" s="31">
        <v>186</v>
      </c>
      <c r="G37" s="31">
        <v>5</v>
      </c>
      <c r="H37" s="31">
        <v>3</v>
      </c>
      <c r="I37" s="30">
        <v>44014</v>
      </c>
    </row>
    <row r="38" spans="1:9" ht="16" thickBot="1" x14ac:dyDescent="0.25">
      <c r="A38" s="31">
        <v>738</v>
      </c>
      <c r="B38" s="32" t="s">
        <v>1201</v>
      </c>
      <c r="C38" s="31" t="s">
        <v>730</v>
      </c>
      <c r="D38" s="31">
        <v>9991276042</v>
      </c>
      <c r="E38" s="31" t="s">
        <v>732</v>
      </c>
      <c r="F38" s="31">
        <v>188</v>
      </c>
      <c r="G38" s="31">
        <v>0</v>
      </c>
      <c r="H38" s="31">
        <v>1</v>
      </c>
      <c r="I38" s="30">
        <v>44125</v>
      </c>
    </row>
    <row r="39" spans="1:9" ht="16" thickBot="1" x14ac:dyDescent="0.25">
      <c r="A39" s="31">
        <v>738</v>
      </c>
      <c r="B39" s="32" t="s">
        <v>1202</v>
      </c>
      <c r="C39" s="31" t="s">
        <v>737</v>
      </c>
      <c r="D39" s="31">
        <v>9991375427</v>
      </c>
      <c r="E39" s="31" t="s">
        <v>739</v>
      </c>
      <c r="F39" s="31">
        <v>192</v>
      </c>
      <c r="G39" s="31">
        <v>0</v>
      </c>
      <c r="H39" s="31">
        <v>2</v>
      </c>
      <c r="I39" s="30">
        <v>44221</v>
      </c>
    </row>
    <row r="40" spans="1:9" ht="16" thickBot="1" x14ac:dyDescent="0.25">
      <c r="A40" s="31">
        <v>738</v>
      </c>
      <c r="B40" s="32" t="s">
        <v>1203</v>
      </c>
      <c r="C40" s="31" t="s">
        <v>746</v>
      </c>
      <c r="D40" s="31">
        <v>9993356071</v>
      </c>
      <c r="E40" s="31" t="s">
        <v>748</v>
      </c>
      <c r="F40" s="31">
        <v>193</v>
      </c>
      <c r="G40" s="31">
        <v>1</v>
      </c>
      <c r="H40" s="31">
        <v>2</v>
      </c>
      <c r="I40" s="30">
        <v>44231</v>
      </c>
    </row>
    <row r="41" spans="1:9" ht="16" thickBot="1" x14ac:dyDescent="0.25">
      <c r="A41" s="31">
        <v>738</v>
      </c>
      <c r="B41" s="32" t="s">
        <v>1204</v>
      </c>
      <c r="C41" s="31" t="s">
        <v>757</v>
      </c>
      <c r="D41" s="31">
        <v>9991369874</v>
      </c>
      <c r="E41" s="31" t="s">
        <v>759</v>
      </c>
      <c r="F41" s="31">
        <v>194</v>
      </c>
      <c r="G41" s="31">
        <v>1</v>
      </c>
      <c r="H41" s="31">
        <v>0</v>
      </c>
      <c r="I41" s="30">
        <v>44371</v>
      </c>
    </row>
    <row r="42" spans="1:9" ht="16" thickBot="1" x14ac:dyDescent="0.25">
      <c r="A42" s="31">
        <v>738</v>
      </c>
      <c r="B42" s="32" t="s">
        <v>1205</v>
      </c>
      <c r="C42" s="31" t="s">
        <v>763</v>
      </c>
      <c r="D42" s="31">
        <v>5520985073</v>
      </c>
      <c r="E42" s="31" t="s">
        <v>765</v>
      </c>
      <c r="F42" s="31">
        <v>195</v>
      </c>
      <c r="G42" s="31">
        <v>1</v>
      </c>
      <c r="H42" s="31">
        <v>0</v>
      </c>
      <c r="I42" s="30">
        <v>44623</v>
      </c>
    </row>
    <row r="43" spans="1:9" ht="16" thickBot="1" x14ac:dyDescent="0.25">
      <c r="A43" s="31">
        <v>738</v>
      </c>
      <c r="B43" s="32" t="s">
        <v>1206</v>
      </c>
      <c r="C43" s="31" t="s">
        <v>770</v>
      </c>
      <c r="D43" s="31">
        <v>9994992099</v>
      </c>
      <c r="E43" s="31" t="s">
        <v>772</v>
      </c>
      <c r="F43" s="31">
        <v>196</v>
      </c>
      <c r="G43" s="31">
        <v>1</v>
      </c>
      <c r="H43" s="31">
        <v>0</v>
      </c>
      <c r="I43" s="30">
        <v>44412</v>
      </c>
    </row>
    <row r="44" spans="1:9" ht="16" thickBot="1" x14ac:dyDescent="0.25">
      <c r="A44" s="31">
        <v>738</v>
      </c>
      <c r="B44" s="32" t="s">
        <v>1207</v>
      </c>
      <c r="C44" s="31" t="s">
        <v>777</v>
      </c>
      <c r="D44" s="31">
        <v>5530565722</v>
      </c>
      <c r="E44" s="31" t="s">
        <v>779</v>
      </c>
      <c r="F44" s="31">
        <v>199</v>
      </c>
      <c r="G44" s="31">
        <v>5</v>
      </c>
      <c r="H44" s="31">
        <v>3</v>
      </c>
      <c r="I44" s="30">
        <v>44544</v>
      </c>
    </row>
    <row r="45" spans="1:9" ht="16" thickBot="1" x14ac:dyDescent="0.25">
      <c r="A45" s="31">
        <v>738</v>
      </c>
      <c r="B45" s="32" t="s">
        <v>1208</v>
      </c>
      <c r="C45" s="31" t="s">
        <v>801</v>
      </c>
      <c r="D45" s="31">
        <v>9971248940</v>
      </c>
      <c r="E45" s="31" t="s">
        <v>803</v>
      </c>
      <c r="F45" s="31">
        <v>200</v>
      </c>
      <c r="G45" s="31">
        <v>2</v>
      </c>
      <c r="H45" s="31">
        <v>1</v>
      </c>
      <c r="I45" s="30">
        <v>44799</v>
      </c>
    </row>
    <row r="46" spans="1:9" ht="16" thickBot="1" x14ac:dyDescent="0.25">
      <c r="A46" s="31">
        <v>738</v>
      </c>
      <c r="B46" s="32" t="s">
        <v>1209</v>
      </c>
      <c r="C46" s="31" t="s">
        <v>813</v>
      </c>
      <c r="D46" s="31">
        <v>9992247551</v>
      </c>
      <c r="E46" s="31" t="s">
        <v>815</v>
      </c>
      <c r="F46" s="31">
        <v>201</v>
      </c>
      <c r="G46" s="31">
        <v>0</v>
      </c>
      <c r="H46" s="31">
        <v>4</v>
      </c>
      <c r="I46" s="30">
        <v>45163</v>
      </c>
    </row>
    <row r="47" spans="1:9" ht="16" thickBot="1" x14ac:dyDescent="0.25">
      <c r="A47" s="31">
        <v>738</v>
      </c>
      <c r="B47" s="32" t="s">
        <v>1210</v>
      </c>
      <c r="C47" s="31" t="s">
        <v>831</v>
      </c>
      <c r="D47" s="31">
        <v>9991356502</v>
      </c>
      <c r="E47" s="31" t="s">
        <v>833</v>
      </c>
      <c r="F47" s="31">
        <v>202</v>
      </c>
      <c r="G47" s="31">
        <v>1</v>
      </c>
      <c r="H47" s="31">
        <v>4</v>
      </c>
      <c r="I47" s="30">
        <v>45336</v>
      </c>
    </row>
    <row r="48" spans="1:9" ht="16" thickBot="1" x14ac:dyDescent="0.25">
      <c r="A48" s="31">
        <v>738</v>
      </c>
      <c r="B48" s="32" t="s">
        <v>1211</v>
      </c>
      <c r="C48" s="31" t="s">
        <v>849</v>
      </c>
      <c r="D48" s="31">
        <v>9991518266</v>
      </c>
      <c r="E48" s="31" t="s">
        <v>851</v>
      </c>
      <c r="F48" s="31">
        <v>203</v>
      </c>
      <c r="G48" s="31">
        <v>1</v>
      </c>
      <c r="H48" s="31">
        <v>2</v>
      </c>
      <c r="I48" s="30">
        <v>45346</v>
      </c>
    </row>
    <row r="49" spans="1:9" ht="16" thickBot="1" x14ac:dyDescent="0.25">
      <c r="A49" s="31">
        <v>738</v>
      </c>
      <c r="B49" s="32" t="s">
        <v>1212</v>
      </c>
      <c r="C49" s="31" t="s">
        <v>861</v>
      </c>
      <c r="D49" s="31">
        <v>9994912883</v>
      </c>
      <c r="E49" s="31" t="s">
        <v>863</v>
      </c>
      <c r="F49" s="31">
        <v>204</v>
      </c>
      <c r="G49" s="31">
        <v>3</v>
      </c>
      <c r="H49" s="31">
        <v>0</v>
      </c>
      <c r="I49" s="30">
        <v>45350</v>
      </c>
    </row>
    <row r="50" spans="1:9" ht="16" thickBot="1" x14ac:dyDescent="0.25">
      <c r="A50" s="31">
        <v>738</v>
      </c>
      <c r="B50" s="32" t="s">
        <v>1213</v>
      </c>
      <c r="C50" s="31" t="s">
        <v>871</v>
      </c>
      <c r="D50" s="31">
        <v>9901011913</v>
      </c>
      <c r="E50" s="31" t="s">
        <v>873</v>
      </c>
      <c r="F50" s="31">
        <v>205</v>
      </c>
      <c r="G50" s="31">
        <v>1</v>
      </c>
      <c r="H50" s="31">
        <v>1</v>
      </c>
      <c r="I50" s="30">
        <v>45413</v>
      </c>
    </row>
    <row r="51" spans="1:9" ht="16" thickBot="1" x14ac:dyDescent="0.25">
      <c r="A51" s="31">
        <v>738</v>
      </c>
      <c r="B51" s="32" t="s">
        <v>1214</v>
      </c>
      <c r="C51" s="31" t="s">
        <v>880</v>
      </c>
      <c r="D51" s="31">
        <v>9991450399</v>
      </c>
      <c r="E51" s="31" t="s">
        <v>882</v>
      </c>
      <c r="F51" s="31">
        <v>206</v>
      </c>
      <c r="G51" s="31">
        <v>0</v>
      </c>
      <c r="H51" s="31">
        <v>0</v>
      </c>
      <c r="I51" s="30">
        <v>45413</v>
      </c>
    </row>
    <row r="52" spans="1:9" ht="16" thickBot="1" x14ac:dyDescent="0.25">
      <c r="A52" s="31">
        <v>738</v>
      </c>
      <c r="B52" s="32" t="s">
        <v>1215</v>
      </c>
      <c r="C52" s="31" t="s">
        <v>884</v>
      </c>
      <c r="D52" s="31">
        <v>5543900616</v>
      </c>
      <c r="E52" s="31" t="s">
        <v>886</v>
      </c>
      <c r="F52" s="31">
        <v>209</v>
      </c>
      <c r="G52" s="31">
        <v>1</v>
      </c>
      <c r="H52" s="31">
        <v>4</v>
      </c>
      <c r="I52" s="30">
        <v>45439</v>
      </c>
    </row>
    <row r="53" spans="1:9" ht="16" thickBot="1" x14ac:dyDescent="0.25">
      <c r="A53" s="31">
        <v>738</v>
      </c>
      <c r="B53" s="32" t="s">
        <v>1216</v>
      </c>
      <c r="C53" s="31" t="s">
        <v>905</v>
      </c>
      <c r="D53" s="31">
        <v>9993359825</v>
      </c>
      <c r="E53" s="31" t="s">
        <v>907</v>
      </c>
      <c r="F53" s="31">
        <v>210</v>
      </c>
      <c r="G53" s="31">
        <v>1</v>
      </c>
      <c r="H53" s="31">
        <v>5</v>
      </c>
      <c r="I53" s="30">
        <v>45439</v>
      </c>
    </row>
    <row r="54" spans="1:9" ht="16" thickBot="1" x14ac:dyDescent="0.25">
      <c r="A54" s="31">
        <v>738</v>
      </c>
      <c r="B54" s="32" t="s">
        <v>1217</v>
      </c>
      <c r="C54" s="31" t="s">
        <v>925</v>
      </c>
      <c r="D54" s="31">
        <v>9995328570</v>
      </c>
      <c r="E54" s="31" t="s">
        <v>927</v>
      </c>
      <c r="F54" s="31">
        <v>211</v>
      </c>
      <c r="G54" s="31">
        <v>1</v>
      </c>
      <c r="H54" s="31">
        <v>2</v>
      </c>
      <c r="I54" s="30">
        <v>45439</v>
      </c>
    </row>
    <row r="55" spans="1:9" ht="16" thickBot="1" x14ac:dyDescent="0.25">
      <c r="A55" s="31">
        <v>738</v>
      </c>
      <c r="B55" s="32" t="s">
        <v>1218</v>
      </c>
      <c r="C55" s="31" t="s">
        <v>935</v>
      </c>
      <c r="D55" s="31">
        <v>5530565722</v>
      </c>
      <c r="E55" s="31" t="s">
        <v>937</v>
      </c>
      <c r="F55" s="31">
        <v>212</v>
      </c>
      <c r="G55" s="31">
        <v>0</v>
      </c>
      <c r="H55" s="31">
        <v>0</v>
      </c>
      <c r="I55" s="30">
        <v>45471</v>
      </c>
    </row>
    <row r="56" spans="1:9" ht="16" thickBot="1" x14ac:dyDescent="0.25">
      <c r="A56" s="31">
        <v>738</v>
      </c>
      <c r="B56" s="32" t="s">
        <v>1219</v>
      </c>
      <c r="C56" s="31" t="s">
        <v>939</v>
      </c>
      <c r="D56" s="31">
        <v>9811204947</v>
      </c>
      <c r="E56" s="31" t="s">
        <v>941</v>
      </c>
      <c r="F56" s="31">
        <v>214</v>
      </c>
      <c r="G56" s="31">
        <v>1</v>
      </c>
      <c r="H56" s="31">
        <v>0</v>
      </c>
      <c r="I56" s="30">
        <v>45497</v>
      </c>
    </row>
    <row r="57" spans="1:9" ht="16" thickBot="1" x14ac:dyDescent="0.25">
      <c r="A57" s="31">
        <v>738</v>
      </c>
      <c r="B57" s="32" t="s">
        <v>1220</v>
      </c>
      <c r="C57" s="31" t="s">
        <v>947</v>
      </c>
      <c r="D57" s="31">
        <v>9993940909</v>
      </c>
      <c r="E57" s="31" t="s">
        <v>949</v>
      </c>
      <c r="F57" s="31">
        <v>215</v>
      </c>
      <c r="G57" s="31">
        <v>3</v>
      </c>
      <c r="H57" s="31">
        <v>3</v>
      </c>
      <c r="I57" s="30">
        <v>45497</v>
      </c>
    </row>
    <row r="58" spans="1:9" ht="16" thickBot="1" x14ac:dyDescent="0.25">
      <c r="A58" s="31">
        <v>738</v>
      </c>
      <c r="B58" s="32" t="s">
        <v>1221</v>
      </c>
      <c r="C58" s="31" t="s">
        <v>970</v>
      </c>
      <c r="D58" s="31">
        <v>9831549084</v>
      </c>
      <c r="E58" s="31" t="s">
        <v>972</v>
      </c>
      <c r="F58" s="31">
        <v>216</v>
      </c>
      <c r="G58" s="31">
        <v>2</v>
      </c>
      <c r="H58" s="31">
        <v>1</v>
      </c>
      <c r="I58" s="30">
        <v>45497</v>
      </c>
    </row>
    <row r="59" spans="1:9" ht="16" thickBot="1" x14ac:dyDescent="0.25">
      <c r="A59" s="31">
        <v>738</v>
      </c>
      <c r="B59" s="32" t="s">
        <v>1222</v>
      </c>
      <c r="C59" s="31" t="s">
        <v>982</v>
      </c>
      <c r="D59" s="31">
        <v>9999967145</v>
      </c>
      <c r="E59" s="31" t="s">
        <v>984</v>
      </c>
      <c r="F59" s="31">
        <v>217</v>
      </c>
      <c r="G59" s="31">
        <v>1</v>
      </c>
      <c r="H59" s="31">
        <v>2</v>
      </c>
      <c r="I59" s="30">
        <v>45525</v>
      </c>
    </row>
    <row r="60" spans="1:9" ht="16" thickBot="1" x14ac:dyDescent="0.25">
      <c r="A60" s="31">
        <v>738</v>
      </c>
      <c r="B60" s="32" t="s">
        <v>1223</v>
      </c>
      <c r="C60" s="31" t="s">
        <v>996</v>
      </c>
      <c r="D60" s="31">
        <v>5543426160</v>
      </c>
      <c r="E60" s="31" t="s">
        <v>998</v>
      </c>
      <c r="F60" s="31">
        <v>218</v>
      </c>
      <c r="G60" s="31">
        <v>1</v>
      </c>
      <c r="H60" s="31">
        <v>0</v>
      </c>
      <c r="I60" s="30">
        <v>45542</v>
      </c>
    </row>
    <row r="61" spans="1:9" ht="16" thickBot="1" x14ac:dyDescent="0.25">
      <c r="A61" s="31">
        <v>738</v>
      </c>
      <c r="B61" s="32" t="s">
        <v>1224</v>
      </c>
      <c r="C61" s="31" t="s">
        <v>1002</v>
      </c>
      <c r="D61" s="31">
        <v>4431302953</v>
      </c>
      <c r="E61" s="31" t="s">
        <v>1004</v>
      </c>
      <c r="F61" s="31">
        <v>219</v>
      </c>
      <c r="G61" s="31">
        <v>0</v>
      </c>
      <c r="H61" s="31">
        <v>0</v>
      </c>
      <c r="I61" s="30">
        <v>45549</v>
      </c>
    </row>
    <row r="62" spans="1:9" ht="16" thickBot="1" x14ac:dyDescent="0.25">
      <c r="A62" s="31">
        <v>738</v>
      </c>
      <c r="B62" s="32" t="s">
        <v>1225</v>
      </c>
      <c r="C62" s="31" t="s">
        <v>1006</v>
      </c>
      <c r="D62" s="31">
        <v>9993354270</v>
      </c>
      <c r="E62" s="31" t="s">
        <v>1008</v>
      </c>
      <c r="F62" s="31">
        <v>220</v>
      </c>
      <c r="G62" s="31">
        <v>2</v>
      </c>
      <c r="H62" s="31">
        <v>0</v>
      </c>
      <c r="I62" s="30">
        <v>45628</v>
      </c>
    </row>
    <row r="63" spans="1:9" ht="16" thickBot="1" x14ac:dyDescent="0.25">
      <c r="A63" s="31">
        <v>738</v>
      </c>
      <c r="B63" s="32" t="s">
        <v>1226</v>
      </c>
      <c r="C63" s="31" t="s">
        <v>1014</v>
      </c>
      <c r="D63" s="31">
        <v>9381526811</v>
      </c>
      <c r="E63" s="31" t="s">
        <v>1016</v>
      </c>
      <c r="F63" s="31">
        <v>221</v>
      </c>
      <c r="G63" s="31">
        <v>0</v>
      </c>
      <c r="H63" s="31">
        <v>0</v>
      </c>
      <c r="I63" s="30">
        <v>45628</v>
      </c>
    </row>
    <row r="64" spans="1:9" ht="16" thickBot="1" x14ac:dyDescent="0.25">
      <c r="A64" s="31">
        <v>738</v>
      </c>
      <c r="B64" s="32" t="s">
        <v>1227</v>
      </c>
      <c r="C64" s="31" t="s">
        <v>1018</v>
      </c>
      <c r="D64" s="31">
        <v>9992315040</v>
      </c>
      <c r="E64" s="31" t="s">
        <v>1020</v>
      </c>
      <c r="F64" s="31">
        <v>222</v>
      </c>
      <c r="G64" s="31">
        <v>2</v>
      </c>
      <c r="H64" s="31">
        <v>1</v>
      </c>
      <c r="I64" s="30">
        <v>45632</v>
      </c>
    </row>
    <row r="65" spans="1:9" ht="16" thickBot="1" x14ac:dyDescent="0.25">
      <c r="A65" s="31">
        <v>738</v>
      </c>
      <c r="B65" s="32" t="s">
        <v>1228</v>
      </c>
      <c r="C65" s="31" t="s">
        <v>1028</v>
      </c>
      <c r="D65" s="31">
        <v>9993778311</v>
      </c>
      <c r="E65" s="31" t="s">
        <v>1030</v>
      </c>
      <c r="F65" s="31">
        <v>223</v>
      </c>
      <c r="G65" s="31">
        <v>0</v>
      </c>
      <c r="H65" s="31">
        <v>0</v>
      </c>
      <c r="I65" s="30">
        <v>45642</v>
      </c>
    </row>
    <row r="66" spans="1:9" ht="16" thickBot="1" x14ac:dyDescent="0.25">
      <c r="A66" s="31">
        <v>738</v>
      </c>
      <c r="B66" s="32" t="s">
        <v>1229</v>
      </c>
      <c r="C66" s="31" t="s">
        <v>1032</v>
      </c>
      <c r="D66" s="31" t="s">
        <v>1034</v>
      </c>
      <c r="E66" s="31" t="s">
        <v>1035</v>
      </c>
      <c r="F66" s="31">
        <v>224</v>
      </c>
      <c r="G66" s="31">
        <v>6</v>
      </c>
      <c r="H66" s="31">
        <v>1</v>
      </c>
      <c r="I66" s="30">
        <v>45642</v>
      </c>
    </row>
    <row r="67" spans="1:9" ht="16" thickBot="1" x14ac:dyDescent="0.25">
      <c r="A67" s="31">
        <v>738</v>
      </c>
      <c r="B67" s="32" t="s">
        <v>1230</v>
      </c>
      <c r="C67" s="31" t="s">
        <v>1057</v>
      </c>
      <c r="D67" s="31">
        <v>9995759542</v>
      </c>
      <c r="E67" s="31" t="s">
        <v>1059</v>
      </c>
      <c r="F67" s="31">
        <v>225</v>
      </c>
      <c r="G67" s="31">
        <v>1</v>
      </c>
      <c r="H67" s="31">
        <v>2</v>
      </c>
      <c r="I67" s="30">
        <v>45717</v>
      </c>
    </row>
    <row r="68" spans="1:9" ht="16" thickBot="1" x14ac:dyDescent="0.25">
      <c r="A68" s="31">
        <v>738</v>
      </c>
      <c r="B68" s="32" t="s">
        <v>1231</v>
      </c>
      <c r="C68" s="31" t="s">
        <v>1070</v>
      </c>
      <c r="D68" s="31">
        <v>9994912883</v>
      </c>
      <c r="E68" s="31" t="s">
        <v>1072</v>
      </c>
      <c r="F68" s="31">
        <v>226</v>
      </c>
      <c r="G68" s="31">
        <v>3</v>
      </c>
      <c r="H68" s="31">
        <v>4</v>
      </c>
      <c r="I68" s="30">
        <v>45747</v>
      </c>
    </row>
    <row r="69" spans="1:9" ht="16" thickBot="1" x14ac:dyDescent="0.25">
      <c r="A69" s="31">
        <v>738</v>
      </c>
      <c r="B69" s="32" t="s">
        <v>1232</v>
      </c>
      <c r="C69" s="31" t="s">
        <v>1090</v>
      </c>
      <c r="D69" s="31">
        <v>13213470270</v>
      </c>
      <c r="E69" s="31" t="s">
        <v>1093</v>
      </c>
      <c r="F69" s="31">
        <v>227</v>
      </c>
      <c r="G69" s="31">
        <v>0</v>
      </c>
      <c r="H69" s="31">
        <v>0</v>
      </c>
      <c r="I69" s="30">
        <v>45730</v>
      </c>
    </row>
    <row r="70" spans="1:9" ht="16" thickBot="1" x14ac:dyDescent="0.25">
      <c r="A70" s="31">
        <v>738</v>
      </c>
      <c r="B70" s="32" t="s">
        <v>1233</v>
      </c>
      <c r="C70" s="31" t="s">
        <v>1095</v>
      </c>
      <c r="D70" s="31">
        <v>9993772793</v>
      </c>
      <c r="E70" s="31" t="s">
        <v>1097</v>
      </c>
      <c r="F70" s="31">
        <v>228</v>
      </c>
      <c r="G70" s="31">
        <v>2</v>
      </c>
      <c r="H70" s="31">
        <v>1</v>
      </c>
      <c r="I70" s="30">
        <v>45777</v>
      </c>
    </row>
    <row r="71" spans="1:9" ht="16" thickBot="1" x14ac:dyDescent="0.25">
      <c r="A71" s="31">
        <v>738</v>
      </c>
      <c r="B71" s="32" t="s">
        <v>1234</v>
      </c>
      <c r="C71" s="31" t="s">
        <v>1106</v>
      </c>
      <c r="D71" s="31">
        <v>9991650849</v>
      </c>
      <c r="E71" s="31" t="s">
        <v>1108</v>
      </c>
      <c r="F71" s="31">
        <v>229</v>
      </c>
      <c r="G71" s="31">
        <v>4</v>
      </c>
      <c r="H71" s="31">
        <v>2</v>
      </c>
      <c r="I71" s="30">
        <v>45808</v>
      </c>
    </row>
    <row r="72" spans="1:9" ht="16" thickBot="1" x14ac:dyDescent="0.25">
      <c r="A72" s="31">
        <v>738</v>
      </c>
      <c r="B72" s="32" t="s">
        <v>1235</v>
      </c>
      <c r="C72" s="31" t="s">
        <v>1127</v>
      </c>
      <c r="D72" s="31">
        <v>9993437376</v>
      </c>
      <c r="E72" s="31" t="s">
        <v>1129</v>
      </c>
      <c r="F72" s="31">
        <v>230</v>
      </c>
      <c r="G72" s="31">
        <v>1</v>
      </c>
      <c r="H72" s="31">
        <v>2</v>
      </c>
      <c r="I72" s="30">
        <v>45808</v>
      </c>
    </row>
    <row r="73" spans="1:9" ht="16" thickBot="1" x14ac:dyDescent="0.25">
      <c r="A73" s="31">
        <v>738</v>
      </c>
      <c r="B73" s="32" t="s">
        <v>1236</v>
      </c>
      <c r="C73" s="31" t="s">
        <v>1138</v>
      </c>
      <c r="D73" s="31">
        <v>9993382222</v>
      </c>
      <c r="E73" s="31" t="s">
        <v>1140</v>
      </c>
      <c r="F73" s="31">
        <v>231</v>
      </c>
      <c r="G73" s="31">
        <v>0</v>
      </c>
      <c r="H73" s="31">
        <v>0</v>
      </c>
      <c r="I73" s="30">
        <v>45835</v>
      </c>
    </row>
    <row r="74" spans="1:9" ht="16" thickBot="1" x14ac:dyDescent="0.25">
      <c r="A74" s="31">
        <v>738</v>
      </c>
      <c r="B74" s="32" t="s">
        <v>1237</v>
      </c>
      <c r="C74" s="31" t="s">
        <v>1142</v>
      </c>
      <c r="D74" s="31" t="s">
        <v>1144</v>
      </c>
      <c r="E74" s="31" t="s">
        <v>1238</v>
      </c>
      <c r="F74" s="31">
        <v>232</v>
      </c>
      <c r="G74" s="31">
        <v>0</v>
      </c>
      <c r="H74" s="31">
        <v>0</v>
      </c>
      <c r="I74" s="30">
        <v>45864</v>
      </c>
    </row>
    <row r="75" spans="1:9" ht="16" thickBot="1" x14ac:dyDescent="0.25">
      <c r="A75" s="31">
        <v>738</v>
      </c>
      <c r="B75" s="32" t="s">
        <v>1239</v>
      </c>
      <c r="C75" s="31" t="s">
        <v>1146</v>
      </c>
      <c r="D75" s="31" t="s">
        <v>1147</v>
      </c>
      <c r="E75" s="31" t="s">
        <v>1148</v>
      </c>
      <c r="F75" s="31">
        <v>233</v>
      </c>
      <c r="G75" s="31">
        <v>1</v>
      </c>
      <c r="H75" s="31">
        <v>0</v>
      </c>
      <c r="I75" s="30">
        <v>45864</v>
      </c>
    </row>
    <row r="76" spans="1:9" ht="16" thickBot="1" x14ac:dyDescent="0.25">
      <c r="A76" s="31">
        <v>738</v>
      </c>
      <c r="B76" s="32" t="s">
        <v>1240</v>
      </c>
      <c r="C76" s="31" t="s">
        <v>1152</v>
      </c>
      <c r="D76" s="31" t="s">
        <v>1154</v>
      </c>
      <c r="E76" s="31" t="s">
        <v>1155</v>
      </c>
      <c r="F76" s="31">
        <v>234</v>
      </c>
      <c r="G76" s="31">
        <v>0</v>
      </c>
      <c r="H76" s="31">
        <v>0</v>
      </c>
      <c r="I76" s="30">
        <v>45899</v>
      </c>
    </row>
    <row r="77" spans="1:9" ht="16" thickBot="1" x14ac:dyDescent="0.25">
      <c r="A77" s="31">
        <v>738</v>
      </c>
      <c r="B77" s="32" t="s">
        <v>1241</v>
      </c>
      <c r="C77" s="31" t="s">
        <v>1157</v>
      </c>
      <c r="D77" s="31" t="s">
        <v>1159</v>
      </c>
      <c r="E77" s="31" t="s">
        <v>1160</v>
      </c>
      <c r="F77" s="31">
        <v>235</v>
      </c>
      <c r="G77" s="31">
        <v>0</v>
      </c>
      <c r="H77" s="31">
        <v>0</v>
      </c>
      <c r="I77" s="30">
        <v>46006</v>
      </c>
    </row>
  </sheetData>
  <hyperlinks>
    <hyperlink ref="E74" r:id="rId1" xr:uid="{2B135194-2324-8E46-BB53-E3812F5578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CLUB 738. RELACION SOCIOS 31 DI</vt:lpstr>
      <vt:lpstr>Anexo A</vt:lpstr>
      <vt:lpstr>'CLUB 738. RELACION SOCIOS 31 DI'!Print_Area</vt:lpstr>
      <vt:lpstr>'CLUB 738. RELACION SOCIOS 31 DI'!Print_Titles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Muñoz de Alba Medrano</cp:lastModifiedBy>
  <cp:lastPrinted>2025-12-28T03:33:09Z</cp:lastPrinted>
  <dcterms:created xsi:type="dcterms:W3CDTF">2026-01-07T17:35:05Z</dcterms:created>
  <dcterms:modified xsi:type="dcterms:W3CDTF">2026-01-07T18:36:34Z</dcterms:modified>
</cp:coreProperties>
</file>